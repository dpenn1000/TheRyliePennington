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1ce72cb3ee44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ffb9e6bb8e444bba"/>
    <x:sheet xmlns:r="http://schemas.openxmlformats.org/officeDocument/2006/relationships" name="Summary" sheetId="2" r:id="Rbaf66902196245be"/>
  </x:sheets>
  <x:definedNames>
    <x:definedName name="_xlnm._FilterDatabase" localSheetId="0" hidden="1">'Inventory'!$A$1:$Q$36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&quot;$&quot;#,##0.00"/>
    <x:numFmt numFmtId="165" formatCode="0.0%"/>
  </x:numFmts>
  <x:fonts count="5">
    <x:font>
      <x:sz val="11"/>
      <x:color theme="1"/>
      <x:name val="Calibri"/>
      <x:family val="2"/>
      <x:scheme val="minor"/>
    </x:font>
    <x:font>
      <x:b/>
      <x:color rgb="00FFFFFF"/>
    </x:font>
    <x:font>
      <x:b/>
      <x:sz val="16"/>
    </x:font>
    <x:font>
      <x:b/>
      <x:sz val="12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0" fillId="0" borderId="1" xfId="0" applyAlignment="1">
      <x:alignment horizontal="center" vertical="top"/>
    </x:xf>
    <x:xf numFmtId="0" fontId="0" fillId="0" borderId="1" xfId="0" applyAlignment="1">
      <x:alignment horizontal="center" vertical="top" wrapText="1"/>
    </x:xf>
    <x:xf numFmtId="164" fontId="0" fillId="0" borderId="1" xfId="0" applyAlignment="1">
      <x:alignment horizontal="right" vertical="top"/>
    </x:xf>
    <x:xf numFmtId="165" fontId="0" fillId="0" borderId="1" xfId="0" applyAlignment="1">
      <x:alignment horizontal="right" vertical="top"/>
    </x:xf>
    <x:xf numFmtId="0" fontId="2" fillId="0" borderId="0" xfId="0"/>
    <x:xf numFmtId="0" fontId="3" fillId="0" borderId="0" xfId="0"/>
    <x:xf numFmtId="0" fontId="4" fillId="0" borderId="0" xfId="0" applyAlignment="1">
      <x:alignment vertical="center"/>
    </x:xf>
    <x:xf numFmtId="164" fontId="0" fillId="0" borderId="0" xfId="0" applyAlignment="1">
      <x:alignment horizontal="right" vertical="center"/>
    </x:xf>
    <x:xf numFmtId="165" fontId="0" fillId="0" borderId="0" xfId="0" applyAlignment="1">
      <x:alignment horizontal="right" vertical="center"/>
    </x:xf>
    <x:xf numFmtId="1" fontId="0" fillId="0" borderId="0" xfId="0" applyAlignment="1">
      <x:alignment horizontal="right" vertical="center"/>
    </x:xf>
    <x:xf numFmtId="1" fontId="0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1bc5abf1914cc1" /><Relationship Type="http://schemas.openxmlformats.org/officeDocument/2006/relationships/theme" Target="/xl/theme/theme1.xml" Id="R21aa5d753fc64528" /><Relationship Type="http://schemas.openxmlformats.org/officeDocument/2006/relationships/sharedStrings" Target="/xl/sharedStrings.xml" Id="R96616e2cb09c4f1e" /><Relationship Type="http://schemas.openxmlformats.org/officeDocument/2006/relationships/worksheet" Target="/xl/worksheets/sheet1.xml" Id="Rffb9e6bb8e444bba" /><Relationship Type="http://schemas.openxmlformats.org/officeDocument/2006/relationships/worksheet" Target="/xl/worksheets/sheet2.xml" Id="Rbaf66902196245be" /></Relationships>
</file>

<file path=xl/tables/table1.xml><?xml version="1.0" encoding="utf-8"?>
<x:table xmlns:x="http://schemas.openxmlformats.org/spreadsheetml/2006/main" id="1" name="InventoryTable" displayName="InventoryTable" ref="A1:O36" headerRowCount="1">
  <x:autoFilter ref="A1:O36"/>
  <x:tableColumns count="15">
    <x:tableColumn id="1" name="Item"/>
    <x:tableColumn id="2" name="Qty"/>
    <x:tableColumn id="3" name="Years Owned"/>
    <x:tableColumn id="4" name="Purchased Unit ($)"/>
    <x:tableColumn id="5" name="Purchased Total ($)"/>
    <x:tableColumn id="6" name="MSRP/List Unit ($)"/>
    <x:tableColumn id="7" name="New Street Unit ($)"/>
    <x:tableColumn id="8" name="MSRP/List Total ($)"/>
    <x:tableColumn id="9" name="New Street Total ($)"/>
    <x:tableColumn id="10" name="MSRP/New Price Source (URL)"/>
    <x:tableColumn id="11" name="Used Sale Est Total ($)"/>
    <x:tableColumn id="12" name="Used Sale Est Unit ($)"/>
    <x:tableColumn id="13" name="Used % of New Street"/>
    <x:tableColumn id="14" name="Used Value Notes / Basis"/>
    <x:tableColumn id="15" name="Notes / Model Needed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67f59e10474961" /></Relationships>
</file>

<file path=xl/worksheets/sheet1.xml><?xml version="1.0" encoding="utf-8"?>
<x:worksheet xmlns:x="http://schemas.openxmlformats.org/spreadsheetml/2006/main">
  <x:sheetFormatPr defaultRowHeight="15"/>
  <x:cols>
    <x:col min="1" max="1" width="46" customWidth="1"/>
    <x:col min="2" max="2" width="6" customWidth="1"/>
    <x:col min="3" max="3" width="10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48" customWidth="1"/>
    <x:col min="11" max="11" width="18" customWidth="1"/>
    <x:col min="12" max="12" width="18" customWidth="1"/>
    <x:col min="13" max="13" width="14" customWidth="1"/>
    <x:col min="14" max="14" width="26" customWidth="1"/>
    <x:col min="15" max="15" width="26" customWidth="1"/>
    <x:col min="16" max="16" width="16" customWidth="1"/>
    <x:col min="17" max="17" width="42" customWidth="1"/>
  </x:cols>
  <x:sheetData>
    <x:row r="1" ht="40" customHeight="1">
      <x:c r="A1" s="1" t="inlineStr">
        <x:is>
          <x:t xml:space="preserve">Item</x:t>
        </x:is>
      </x:c>
      <x:c r="B1" s="1" t="inlineStr">
        <x:is>
          <x:t xml:space="preserve">Qty</x:t>
        </x:is>
      </x:c>
      <x:c r="C1" s="1" t="inlineStr">
        <x:is>
          <x:t xml:space="preserve">Years Owned</x:t>
        </x:is>
      </x:c>
      <x:c r="D1" s="1" t="inlineStr">
        <x:is>
          <x:t xml:space="preserve">Purchased Unit ($)</x:t>
        </x:is>
      </x:c>
      <x:c r="E1" s="1" t="inlineStr">
        <x:is>
          <x:t xml:space="preserve">Purchased Total ($)</x:t>
        </x:is>
      </x:c>
      <x:c r="F1" s="1" t="inlineStr">
        <x:is>
          <x:t xml:space="preserve">MSRP/List Unit ($)</x:t>
        </x:is>
      </x:c>
      <x:c r="G1" s="1" t="inlineStr">
        <x:is>
          <x:t xml:space="preserve">New Street Unit ($)</x:t>
        </x:is>
      </x:c>
      <x:c r="H1" s="1" t="inlineStr">
        <x:is>
          <x:t xml:space="preserve">MSRP/List Total ($)</x:t>
        </x:is>
      </x:c>
      <x:c r="I1" s="1" t="inlineStr">
        <x:is>
          <x:t xml:space="preserve">New Street Total ($)</x:t>
        </x:is>
      </x:c>
      <x:c r="J1" s="1" t="inlineStr">
        <x:is>
          <x:t xml:space="preserve">MSRP/New Price Source (URL)</x:t>
        </x:is>
      </x:c>
      <x:c r="K1" s="1" t="inlineStr">
        <x:is>
          <x:t xml:space="preserve">Used Sale Est Total ($)</x:t>
        </x:is>
      </x:c>
      <x:c r="L1" s="1" t="inlineStr">
        <x:is>
          <x:t xml:space="preserve">Used Sale Est Unit ($)</x:t>
        </x:is>
      </x:c>
      <x:c r="M1" s="1" t="inlineStr">
        <x:is>
          <x:t xml:space="preserve">Used % of New Street</x:t>
        </x:is>
      </x:c>
      <x:c r="N1" s="1" t="inlineStr">
        <x:is>
          <x:t xml:space="preserve">Used Value Notes / Basis</x:t>
        </x:is>
      </x:c>
      <x:c r="O1" s="1" t="inlineStr">
        <x:is>
          <x:t xml:space="preserve">Notes / Model Needed</x:t>
        </x:is>
      </x:c>
      <x:c r="P1" s="1" t="inlineStr">
        <x:is>
          <x:t xml:space="preserve">Missing MSRP/Street?</x:t>
        </x:is>
      </x:c>
      <x:c r="Q1" s="1" t="inlineStr">
        <x:is>
          <x:t xml:space="preserve">Reverb Search URL</x:t>
        </x:is>
      </x:c>
    </x:row>
    <x:row r="2">
      <x:c r="A2" s="2" t="inlineStr">
        <x:is>
          <x:t xml:space="preserve">Kate Collapsible Pop-Up Backdrop (self-tape / headshots / streaming)</x:t>
        </x:is>
      </x:c>
      <x:c r="B2" s="3" t="n">
        <x:v>1</x:v>
      </x:c>
      <x:c r="C2" s="4" t="inlineStr">
        <x:is>
          <x:t xml:space="preserve">&lt;1 year</x:t>
        </x:is>
      </x:c>
      <x:c r="D2" s="5">
        <x:f>E2/B2</x:f>
        <x:v>45.99</x:v>
      </x:c>
      <x:c r="E2" s="5" t="n">
        <x:v>45.99</x:v>
      </x:c>
      <x:c r="F2" s="5" t="n"/>
      <x:c r="G2" s="5" t="n"/>
      <x:c r="H2" s="5">
        <x:f>IF(F2="","",B2*F2)</x:f>
      </x:c>
      <x:c r="I2" s="5">
        <x:f>IF(G2="","",B2*G2)</x:f>
      </x:c>
      <x:c r="J2" s="2" t="inlineStr">
        <x:is>
          <x:t xml:space="preserve">https://www.amazon.com/Kate-Collapsible-Backdrop-Photography-Background/dp/B08MT9WZQC</x:t>
        </x:is>
      </x:c>
      <x:c r="K2" s="5" t="n">
        <x:v>20</x:v>
      </x:c>
      <x:c r="L2" s="5">
        <x:f>K2/B2</x:f>
        <x:v>20</x:v>
      </x:c>
      <x:c r="M2" s="6">
        <x:f>IFERROR(K2/I2,"")</x:f>
      </x:c>
      <x:c r="N2" s="2" t="inlineStr">
        <x:is>
          <x:t xml:space="preserve">Estimated used sale (generic photo backdrop).</x:t>
        </x:is>
      </x:c>
      <x:c r="O2" s="2" t="inlineStr">
        <x:is>
          <x:t xml:space="preserve">Amazon listing doesn’t show price without cart; MSRP needs confirmation.</x:t>
        </x:is>
      </x:c>
      <x:c r="P2" s="13">
        <x:f>IF(OR(F2="",G2=""),1,0)</x:f>
        <x:v>1</x:v>
      </x:c>
      <x:c r="Q2" s="2" t="inlineStr">
        <x:is>
          <x:t xml:space="preserve"/>
        </x:is>
      </x:c>
    </x:row>
    <x:row r="3">
      <x:c r="A3" s="2" t="inlineStr">
        <x:is>
          <x:t xml:space="preserve">Aureday 64" Phone&amp;Tablet Tripod w/ remote (iPhone/iPad holder) — consolidated</x:t>
        </x:is>
      </x:c>
      <x:c r="B3" s="3" t="n">
        <x:v>2</x:v>
      </x:c>
      <x:c r="C3" s="4" t="inlineStr">
        <x:is>
          <x:t xml:space="preserve">&lt;1 year</x:t>
        </x:is>
      </x:c>
      <x:c r="D3" s="5">
        <x:f>E3/B3</x:f>
        <x:v>32.99</x:v>
      </x:c>
      <x:c r="E3" s="5" t="n">
        <x:v>65.98</x:v>
      </x:c>
      <x:c r="F3" s="5" t="n">
        <x:v>34.68</x:v>
      </x:c>
      <x:c r="G3" s="5" t="n">
        <x:v>34.68</x:v>
      </x:c>
      <x:c r="H3" s="5">
        <x:f>IF(F3="","",B3*F3)</x:f>
        <x:v>69.36</x:v>
      </x:c>
      <x:c r="I3" s="5">
        <x:f>IF(G3="","",B3*G3)</x:f>
        <x:v>69.36</x:v>
      </x:c>
      <x:c r="J3" s="2" t="inlineStr">
        <x:is>
          <x:t xml:space="preserve">https://www.walmart.com/c/brand/aureday</x:t>
        </x:is>
      </x:c>
      <x:c r="K3" s="5" t="n">
        <x:v>20</x:v>
      </x:c>
      <x:c r="L3" s="5">
        <x:f>K3/B3</x:f>
        <x:v>10</x:v>
      </x:c>
      <x:c r="M3" s="6">
        <x:f>IFERROR(K3/I3,"")</x:f>
        <x:v>0.28835063437139563</x:v>
      </x:c>
      <x:c r="N3" s="2" t="inlineStr">
        <x:is>
          <x:t xml:space="preserve">Estimated used sale for generic tripod.</x:t>
        </x:is>
      </x:c>
      <x:c r="O3" s="2" t="inlineStr">
        <x:is>
          <x:t xml:space="preserve">Walmart price is for similar Aureday phone tripod; confirm exact SKU/model.</x:t>
        </x:is>
      </x:c>
      <x:c r="P3" s="13">
        <x:f>IF(OR(F3="",G3=""),1,0)</x:f>
        <x:v>0</x:v>
      </x:c>
      <x:c r="Q3" s="2" t="inlineStr">
        <x:is>
          <x:t xml:space="preserve"/>
        </x:is>
      </x:c>
    </x:row>
    <x:row r="4">
      <x:c r="A4" s="2" t="inlineStr">
        <x:is>
          <x:t xml:space="preserve">AudioScape AS78 Dual FET Peak Limiter (1178-style)</x:t>
        </x:is>
      </x:c>
      <x:c r="B4" s="3" t="n">
        <x:v>1</x:v>
      </x:c>
      <x:c r="C4" s="4" t="inlineStr">
        <x:is>
          <x:t xml:space="preserve">&lt;1 year</x:t>
        </x:is>
      </x:c>
      <x:c r="D4" s="5">
        <x:f>E4/B4</x:f>
        <x:v>1289</x:v>
      </x:c>
      <x:c r="E4" s="5" t="n">
        <x:v>1289</x:v>
      </x:c>
      <x:c r="F4" s="5" t="n">
        <x:v>1599</x:v>
      </x:c>
      <x:c r="G4" s="5" t="n">
        <x:v>1599</x:v>
      </x:c>
      <x:c r="H4" s="5">
        <x:f>IF(F4="","",B4*F4)</x:f>
        <x:v>1599</x:v>
      </x:c>
      <x:c r="I4" s="5">
        <x:f>IF(G4="","",B4*G4)</x:f>
        <x:v>1599</x:v>
      </x:c>
      <x:c r="J4" s="2" t="inlineStr">
        <x:is>
          <x:t xml:space="preserve">https://www.audio-scape.com/nineteen-inch-rack/as78</x:t>
        </x:is>
      </x:c>
      <x:c r="K4" s="5" t="n">
        <x:v>1100</x:v>
      </x:c>
      <x:c r="L4" s="5">
        <x:f>K4/B4</x:f>
        <x:v>1100</x:v>
      </x:c>
      <x:c r="M4" s="6">
        <x:f>IFERROR(K4/I4,"")</x:f>
        <x:v>0.6879299562226392</x:v>
      </x:c>
      <x:c r="N4" s="2" t="inlineStr">
        <x:is>
          <x:t xml:space="preserve">Estimated used sale (pro outboard compressor/limiter).</x:t>
        </x:is>
      </x:c>
      <x:c r="O4" s="2" t="inlineStr">
        <x:is>
          <x:t xml:space="preserve"/>
        </x:is>
      </x:c>
      <x:c r="P4" s="13">
        <x:f>IF(OR(F4="",G4=""),1,0)</x:f>
        <x:v>0</x:v>
      </x:c>
      <x:c r="Q4" s="2" t="inlineStr">
        <x:is>
          <x:t xml:space="preserve">https://reverb.com/marketplace?query=AudioScape%20AS78%20Dual%20FET%20Peak%20Limiter%20%201178-style%20</x:t>
        </x:is>
      </x:c>
    </x:row>
    <x:row r="5">
      <x:c r="A5" s="2" t="inlineStr">
        <x:is>
          <x:t xml:space="preserve">Sennheiser ew IEM G4-TWIN (wireless in-ear monitoring system)</x:t>
        </x:is>
      </x:c>
      <x:c r="B5" s="3" t="n">
        <x:v>1</x:v>
      </x:c>
      <x:c r="C5" s="4" t="inlineStr">
        <x:is>
          <x:t xml:space="preserve">&lt;1 year</x:t>
        </x:is>
      </x:c>
      <x:c r="D5" s="5">
        <x:f>E5/B5</x:f>
        <x:v>1564.36</x:v>
      </x:c>
      <x:c r="E5" s="5" t="n">
        <x:v>1564.36</x:v>
      </x:c>
      <x:c r="F5" s="5" t="n">
        <x:v>1649</x:v>
      </x:c>
      <x:c r="G5" s="5" t="n">
        <x:v>1649</x:v>
      </x:c>
      <x:c r="H5" s="5">
        <x:f>IF(F5="","",B5*F5)</x:f>
        <x:v>1649</x:v>
      </x:c>
      <x:c r="I5" s="5">
        <x:f>IF(G5="","",B5*G5)</x:f>
        <x:v>1649</x:v>
      </x:c>
      <x:c r="J5" s="2" t="inlineStr">
        <x:is>
          <x:t xml:space="preserve">https://www.sweetwater.com/store/detail/EWIEM2G4-A--sennheiser-ew-iem-g4-twin-wireless-in-ear-monitoring-system-a-band</x:t>
        </x:is>
      </x:c>
      <x:c r="K5" s="5" t="n">
        <x:v>1200</x:v>
      </x:c>
      <x:c r="L5" s="5">
        <x:f>K5/B5</x:f>
        <x:v>1200</x:v>
      </x:c>
      <x:c r="M5" s="6">
        <x:f>IFERROR(K5/I5,"")</x:f>
        <x:v>0.7277137659187386</x:v>
      </x:c>
      <x:c r="N5" s="2" t="inlineStr">
        <x:is>
          <x:t xml:space="preserve">Estimated used sale based on typical wireless IEM resale.</x:t>
        </x:is>
      </x:c>
      <x:c r="O5" s="2" t="inlineStr">
        <x:is>
          <x:t xml:space="preserve">Band/frequency variant affects resale.</x:t>
        </x:is>
      </x:c>
      <x:c r="P5" s="13">
        <x:f>IF(OR(F5="",G5=""),1,0)</x:f>
        <x:v>0</x:v>
      </x:c>
      <x:c r="Q5" s="2" t="inlineStr">
        <x:is>
          <x:t xml:space="preserve">https://reverb.com/marketplace?query=Sennheiser%20ew%20IEM%20G4-TWIN%20%20wireless%20in-ear%20monitoring%20system%20</x:t>
        </x:is>
      </x:c>
    </x:row>
    <x:row r="6">
      <x:c r="A6" s="2" t="inlineStr">
        <x:is>
          <x:t xml:space="preserve">Pearlman TM-1 Tube Condenser Microphone (German tube)</x:t>
        </x:is>
      </x:c>
      <x:c r="B6" s="3" t="n">
        <x:v>1</x:v>
      </x:c>
      <x:c r="C6" s="4" t="inlineStr">
        <x:is>
          <x:t xml:space="preserve">&lt;1 year</x:t>
        </x:is>
      </x:c>
      <x:c r="D6" s="5">
        <x:f>E6/B6</x:f>
        <x:v>1201.76</x:v>
      </x:c>
      <x:c r="E6" s="5" t="n">
        <x:v>1201.76</x:v>
      </x:c>
      <x:c r="F6" s="5" t="n">
        <x:v>2320</x:v>
      </x:c>
      <x:c r="G6" s="5" t="n">
        <x:v>1760</x:v>
      </x:c>
      <x:c r="H6" s="5">
        <x:f>IF(F6="","",B6*F6)</x:f>
        <x:v>2320</x:v>
      </x:c>
      <x:c r="I6" s="5">
        <x:f>IF(G6="","",B6*G6)</x:f>
        <x:v>1760</x:v>
      </x:c>
      <x:c r="J6" s="2" t="inlineStr">
        <x:is>
          <x:t xml:space="preserve">https://vintageking.com/pearlman-tm-1</x:t>
        </x:is>
      </x:c>
      <x:c r="K6" s="5" t="n">
        <x:v>900</x:v>
      </x:c>
      <x:c r="L6" s="5">
        <x:f>K6/B6</x:f>
        <x:v>900</x:v>
      </x:c>
      <x:c r="M6" s="6">
        <x:f>IFERROR(K6/I6,"")</x:f>
        <x:v>0.5113636363636364</x:v>
      </x:c>
      <x:c r="N6" s="2" t="inlineStr">
        <x:is>
          <x:t xml:space="preserve">Estimated used sale (high-end mic).</x:t>
        </x:is>
      </x:c>
      <x:c r="O6" s="2" t="inlineStr">
        <x:is>
          <x:t xml:space="preserve">Vintage King shows MSRP and discounted price.</x:t>
        </x:is>
      </x:c>
      <x:c r="P6" s="13">
        <x:f>IF(OR(F6="",G6=""),1,0)</x:f>
        <x:v>0</x:v>
      </x:c>
      <x:c r="Q6" s="2" t="inlineStr">
        <x:is>
          <x:t xml:space="preserve">https://reverb.com/marketplace?query=Pearlman%20TM-1%20Tube%20Condenser%20Microphone%20%20German%20tube%20</x:t>
        </x:is>
      </x:c>
    </x:row>
    <x:row r="7">
      <x:c r="A7" s="2" t="inlineStr">
        <x:is>
          <x:t xml:space="preserve">Bass Guitar (model unspecified)</x:t>
        </x:is>
      </x:c>
      <x:c r="B7" s="3" t="n">
        <x:v>1</x:v>
      </x:c>
      <x:c r="C7" s="4" t="inlineStr">
        <x:is>
          <x:t xml:space="preserve">&lt;1 year</x:t>
        </x:is>
      </x:c>
      <x:c r="D7" s="5">
        <x:f>E7/B7</x:f>
        <x:v>236.09</x:v>
      </x:c>
      <x:c r="E7" s="5" t="n">
        <x:v>236.09</x:v>
      </x:c>
      <x:c r="F7" s="5" t="n"/>
      <x:c r="G7" s="5" t="n"/>
      <x:c r="H7" s="5">
        <x:f>IF(F7="","",B7*F7)</x:f>
      </x:c>
      <x:c r="I7" s="5">
        <x:f>IF(G7="","",B7*G7)</x:f>
      </x:c>
      <x:c r="J7" s="2" t="inlineStr">
        <x:is>
          <x:t xml:space="preserve"/>
        </x:is>
      </x:c>
      <x:c r="K7" s="5" t="n">
        <x:v>120</x:v>
      </x:c>
      <x:c r="L7" s="5">
        <x:f>K7/B7</x:f>
        <x:v>120</x:v>
      </x:c>
      <x:c r="M7" s="6">
        <x:f>IFERROR(K7/I7,"")</x:f>
      </x:c>
      <x:c r="N7" s="2" t="inlineStr">
        <x:is>
          <x:t xml:space="preserve">Estimated used sale; needs model/brand for accuracy.</x:t>
        </x:is>
      </x:c>
      <x:c r="O7" s="2" t="inlineStr">
        <x:is>
          <x:t xml:space="preserve">Need brand/model to research MSRP and comps.</x:t>
        </x:is>
      </x:c>
      <x:c r="P7" s="13">
        <x:f>IF(OR(F7="",G7=""),1,0)</x:f>
        <x:v>1</x:v>
      </x:c>
      <x:c r="Q7" s="2" t="inlineStr">
        <x:is>
          <x:t xml:space="preserve">https://reverb.com/marketplace?query=Bass%20Guitar%20%20model%20unspecified%20</x:t>
        </x:is>
      </x:c>
    </x:row>
    <x:row r="8">
      <x:c r="A8" s="2" t="inlineStr">
        <x:is>
          <x:t xml:space="preserve">Roc-N-Soc Thrones/Chairs (model/config unspecified) — assumed 2 units</x:t>
        </x:is>
      </x:c>
      <x:c r="B8" s="3" t="n">
        <x:v>2</x:v>
      </x:c>
      <x:c r="C8" s="4" t="inlineStr">
        <x:is>
          <x:t xml:space="preserve">&lt;1 year</x:t>
        </x:is>
      </x:c>
      <x:c r="D8" s="5">
        <x:f>E8/B8</x:f>
        <x:v>297.78</x:v>
      </x:c>
      <x:c r="E8" s="5" t="n">
        <x:v>595.5599999999999</x:v>
      </x:c>
      <x:c r="F8" s="5" t="n">
        <x:v>239</x:v>
      </x:c>
      <x:c r="G8" s="5" t="n">
        <x:v>239</x:v>
      </x:c>
      <x:c r="H8" s="5">
        <x:f>IF(F8="","",B8*F8)</x:f>
        <x:v>478</x:v>
      </x:c>
      <x:c r="I8" s="5">
        <x:f>IF(G8="","",B8*G8)</x:f>
        <x:v>478</x:v>
      </x:c>
      <x:c r="J8" s="2" t="inlineStr">
        <x:is>
          <x:t xml:space="preserve">https://www.guitarcenter.com/ROC-N-SOC/Drum-Thrones.gc</x:t>
        </x:is>
      </x:c>
      <x:c r="K8" s="5" t="n">
        <x:v>400</x:v>
      </x:c>
      <x:c r="L8" s="5">
        <x:f>K8/B8</x:f>
        <x:v>200</x:v>
      </x:c>
      <x:c r="M8" s="6">
        <x:f>IFERROR(K8/I8,"")</x:f>
        <x:v>0.8368200836820083</x:v>
      </x:c>
      <x:c r="N8" s="2" t="inlineStr">
        <x:is>
          <x:t xml:space="preserve">Estimated used sale for 2 drum thrones.</x:t>
        </x:is>
      </x:c>
      <x:c r="O8" s="2" t="inlineStr">
        <x:is>
          <x:t xml:space="preserve">Price varies by seat/base/backrest; confirm exact models.</x:t>
        </x:is>
      </x:c>
      <x:c r="P8" s="13">
        <x:f>IF(OR(F8="",G8=""),1,0)</x:f>
        <x:v>0</x:v>
      </x:c>
      <x:c r="Q8" s="2" t="inlineStr">
        <x:is>
          <x:t xml:space="preserve">https://reverb.com/marketplace?query=Roc-N-Soc%20Thrones/Chairs%20%20model/config%20unspecified%20%20%20%20assumed%202%20units</x:t>
        </x:is>
      </x:c>
    </x:row>
    <x:row r="9">
      <x:c r="A9" s="2" t="inlineStr">
        <x:is>
          <x:t xml:space="preserve">IGS Audio ZEN Stereo Mastering Compressor</x:t>
        </x:is>
      </x:c>
      <x:c r="B9" s="3" t="n">
        <x:v>1</x:v>
      </x:c>
      <x:c r="C9" s="4" t="inlineStr">
        <x:is>
          <x:t xml:space="preserve">&lt;1 year</x:t>
        </x:is>
      </x:c>
      <x:c r="D9" s="5">
        <x:f>E9/B9</x:f>
        <x:v>1700</x:v>
      </x:c>
      <x:c r="E9" s="5" t="n">
        <x:v>1700</x:v>
      </x:c>
      <x:c r="F9" s="5" t="n">
        <x:v>3595</x:v>
      </x:c>
      <x:c r="G9" s="5" t="n">
        <x:v>3195</x:v>
      </x:c>
      <x:c r="H9" s="5">
        <x:f>IF(F9="","",B9*F9)</x:f>
        <x:v>3595</x:v>
      </x:c>
      <x:c r="I9" s="5">
        <x:f>IF(G9="","",B9*G9)</x:f>
        <x:v>3195</x:v>
      </x:c>
      <x:c r="J9" s="2" t="inlineStr">
        <x:is>
          <x:t xml:space="preserve">https://www.atlasproaudio.com/igs-audio-zen-stereo-compressor/</x:t>
        </x:is>
      </x:c>
      <x:c r="K9" s="5" t="n">
        <x:v>1350</x:v>
      </x:c>
      <x:c r="L9" s="5">
        <x:f>K9/B9</x:f>
        <x:v>1350</x:v>
      </x:c>
      <x:c r="M9" s="6">
        <x:f>IFERROR(K9/I9,"")</x:f>
        <x:v>0.4225352112676056</x:v>
      </x:c>
      <x:c r="N9" s="2" t="inlineStr">
        <x:is>
          <x:t xml:space="preserve">Estimated used sale (boutique mastering compressor).</x:t>
        </x:is>
      </x:c>
      <x:c r="O9" s="2" t="inlineStr">
        <x:is>
          <x:t xml:space="preserve">Atlas shows MSRP crossed out and current price.</x:t>
        </x:is>
      </x:c>
      <x:c r="P9" s="13">
        <x:f>IF(OR(F9="",G9=""),1,0)</x:f>
        <x:v>0</x:v>
      </x:c>
      <x:c r="Q9" s="2" t="inlineStr">
        <x:is>
          <x:t xml:space="preserve">https://reverb.com/marketplace?query=IGS%20Audio%20ZEN%20Stereo%20Mastering%20Compressor</x:t>
        </x:is>
      </x:c>
    </x:row>
    <x:row r="10">
      <x:c r="A10" s="2" t="inlineStr">
        <x:is>
          <x:t xml:space="preserve">ASUS ProArt Monitor(s) (model unspecified)</x:t>
        </x:is>
      </x:c>
      <x:c r="B10" s="3" t="n">
        <x:v>1</x:v>
      </x:c>
      <x:c r="C10" s="4" t="inlineStr">
        <x:is>
          <x:t xml:space="preserve">&lt;1 year</x:t>
        </x:is>
      </x:c>
      <x:c r="D10" s="5">
        <x:f>E10/B10</x:f>
        <x:v>1614.34</x:v>
      </x:c>
      <x:c r="E10" s="5" t="n">
        <x:v>1614.34</x:v>
      </x:c>
      <x:c r="F10" s="5" t="n"/>
      <x:c r="G10" s="5" t="n"/>
      <x:c r="H10" s="5">
        <x:f>IF(F10="","",B10*F10)</x:f>
      </x:c>
      <x:c r="I10" s="5">
        <x:f>IF(G10="","",B10*G10)</x:f>
      </x:c>
      <x:c r="J10" s="2" t="inlineStr">
        <x:is>
          <x:t xml:space="preserve"/>
        </x:is>
      </x:c>
      <x:c r="K10" s="5" t="n">
        <x:v>1200</x:v>
      </x:c>
      <x:c r="L10" s="5">
        <x:f>K10/B10</x:f>
        <x:v>1200</x:v>
      </x:c>
      <x:c r="M10" s="6">
        <x:f>IFERROR(K10/I10,"")</x:f>
      </x:c>
      <x:c r="N10" s="2" t="inlineStr">
        <x:is>
          <x:t xml:space="preserve">Estimated used sale; needs exact ProArt model and size.</x:t>
        </x:is>
      </x:c>
      <x:c r="O10" s="2" t="inlineStr">
        <x:is>
          <x:t xml:space="preserve">Need model (e.g., PA32xx / PA27xx) to research MSRP &amp; resale comps.</x:t>
        </x:is>
      </x:c>
      <x:c r="P10" s="13">
        <x:f>IF(OR(F10="",G10=""),1,0)</x:f>
        <x:v>1</x:v>
      </x:c>
      <x:c r="Q10" s="2" t="inlineStr">
        <x:is>
          <x:t xml:space="preserve">https://reverb.com/marketplace?query=ASUS%20ProArt%20Monitor%20s%20%20%20model%20unspecified%20</x:t>
        </x:is>
      </x:c>
    </x:row>
    <x:row r="11">
      <x:c r="A11" s="2" t="inlineStr">
        <x:is>
          <x:t xml:space="preserve">White Oak Audio Rack (custom / furniture)</x:t>
        </x:is>
      </x:c>
      <x:c r="B11" s="3" t="n">
        <x:v>1</x:v>
      </x:c>
      <x:c r="C11" s="4" t="inlineStr">
        <x:is>
          <x:t xml:space="preserve">&lt;1 year</x:t>
        </x:is>
      </x:c>
      <x:c r="D11" s="5">
        <x:f>E11/B11</x:f>
        <x:v>280</x:v>
      </x:c>
      <x:c r="E11" s="5" t="n">
        <x:v>280</x:v>
      </x:c>
      <x:c r="F11" s="5" t="n">
        <x:v>280</x:v>
      </x:c>
      <x:c r="G11" s="5" t="n">
        <x:v>280</x:v>
      </x:c>
      <x:c r="H11" s="5">
        <x:f>IF(F11="","",B11*F11)</x:f>
        <x:v>280</x:v>
      </x:c>
      <x:c r="I11" s="5">
        <x:f>IF(G11="","",B11*G11)</x:f>
        <x:v>280</x:v>
      </x:c>
      <x:c r="J11" s="2" t="inlineStr">
        <x:is>
          <x:t xml:space="preserve"/>
        </x:is>
      </x:c>
      <x:c r="K11" s="5" t="n">
        <x:v>170</x:v>
      </x:c>
      <x:c r="L11" s="5">
        <x:f>K11/B11</x:f>
        <x:v>170</x:v>
      </x:c>
      <x:c r="M11" s="6">
        <x:f>IFERROR(K11/I11,"")</x:f>
        <x:v>0.6071428571428571</x:v>
      </x:c>
      <x:c r="N11" s="2" t="inlineStr">
        <x:is>
          <x:t xml:space="preserve">Estimated used sale (local pickup furniture).</x:t>
        </x:is>
      </x:c>
      <x:c r="O11" s="2" t="inlineStr">
        <x:is>
          <x:t xml:space="preserve">Custom items vary; MSRP assumed equal to paid.</x:t>
        </x:is>
      </x:c>
      <x:c r="P11" s="13">
        <x:f>IF(OR(F11="",G11=""),1,0)</x:f>
        <x:v>0</x:v>
      </x:c>
      <x:c r="Q11" s="2" t="inlineStr">
        <x:is>
          <x:t xml:space="preserve"/>
        </x:is>
      </x:c>
    </x:row>
    <x:row r="12">
      <x:c r="A12" s="2" t="inlineStr">
        <x:is>
          <x:t xml:space="preserve">Elite Acoustics D6-58 Acoustic Amp</x:t>
        </x:is>
      </x:c>
      <x:c r="B12" s="3" t="n">
        <x:v>1</x:v>
      </x:c>
      <x:c r="C12" s="4" t="inlineStr">
        <x:is>
          <x:t xml:space="preserve">1 year</x:t>
        </x:is>
      </x:c>
      <x:c r="D12" s="5">
        <x:f>E12/B12</x:f>
        <x:v>824.21</x:v>
      </x:c>
      <x:c r="E12" s="5" t="n">
        <x:v>824.21</x:v>
      </x:c>
      <x:c r="F12" s="5" t="n">
        <x:v>1299</x:v>
      </x:c>
      <x:c r="G12" s="5" t="n">
        <x:v>1099</x:v>
      </x:c>
      <x:c r="H12" s="5">
        <x:f>IF(F12="","",B12*F12)</x:f>
        <x:v>1299</x:v>
      </x:c>
      <x:c r="I12" s="5">
        <x:f>IF(G12="","",B12*G12)</x:f>
        <x:v>1099</x:v>
      </x:c>
      <x:c r="J12" s="2" t="inlineStr">
        <x:is>
          <x:t xml:space="preserve">https://eliteacoustics.com/shop</x:t>
        </x:is>
      </x:c>
      <x:c r="K12" s="5" t="n">
        <x:v>550</x:v>
      </x:c>
      <x:c r="L12" s="5">
        <x:f>K12/B12</x:f>
        <x:v>550</x:v>
      </x:c>
      <x:c r="M12" s="6">
        <x:f>IFERROR(K12/I12,"")</x:f>
        <x:v>0.5004549590536852</x:v>
      </x:c>
      <x:c r="N12" s="2" t="inlineStr">
        <x:is>
          <x:t xml:space="preserve">Estimated used sale (acoustic amp).</x:t>
        </x:is>
      </x:c>
      <x:c r="O12" s="2" t="inlineStr">
        <x:is>
          <x:t xml:space="preserve">Elite site shows regular and sale pricing.</x:t>
        </x:is>
      </x:c>
      <x:c r="P12" s="13">
        <x:f>IF(OR(F12="",G12=""),1,0)</x:f>
        <x:v>0</x:v>
      </x:c>
      <x:c r="Q12" s="2" t="inlineStr">
        <x:is>
          <x:t xml:space="preserve">https://reverb.com/marketplace?query=Elite%20Acoustics%20D6-58%20Acoustic%20Amp</x:t>
        </x:is>
      </x:c>
    </x:row>
    <x:row r="13">
      <x:c r="A13" s="2" t="inlineStr">
        <x:is>
          <x:t xml:space="preserve">Schoeps Stereo Set MK 22 (CMC622ST Open Cardioid)</x:t>
        </x:is>
      </x:c>
      <x:c r="B13" s="3" t="n">
        <x:v>1</x:v>
      </x:c>
      <x:c r="C13" s="4" t="inlineStr">
        <x:is>
          <x:t xml:space="preserve">1 year</x:t>
        </x:is>
      </x:c>
      <x:c r="D13" s="5">
        <x:f>E13/B13</x:f>
        <x:v>2802.83</x:v>
      </x:c>
      <x:c r="E13" s="5" t="n">
        <x:v>2802.83</x:v>
      </x:c>
      <x:c r="F13" s="5" t="n">
        <x:v>3914</x:v>
      </x:c>
      <x:c r="G13" s="5" t="n">
        <x:v>3914</x:v>
      </x:c>
      <x:c r="H13" s="5">
        <x:f>IF(F13="","",B13*F13)</x:f>
        <x:v>3914</x:v>
      </x:c>
      <x:c r="I13" s="5">
        <x:f>IF(G13="","",B13*G13)</x:f>
        <x:v>3914</x:v>
      </x:c>
      <x:c r="J13" s="2" t="inlineStr">
        <x:is>
          <x:t xml:space="preserve">https://www.atlasproaudio.com/schoeps-stereo-set-mk-22/</x:t>
        </x:is>
      </x:c>
      <x:c r="K13" s="5" t="n">
        <x:v>2200</x:v>
      </x:c>
      <x:c r="L13" s="5">
        <x:f>K13/B13</x:f>
        <x:v>2200</x:v>
      </x:c>
      <x:c r="M13" s="6">
        <x:f>IFERROR(K13/I13,"")</x:f>
        <x:v>0.5620848237097599</x:v>
      </x:c>
      <x:c r="N13" s="2" t="inlineStr">
        <x:is>
          <x:t xml:space="preserve">Estimated used sale (high-end stereo set).</x:t>
        </x:is>
      </x:c>
      <x:c r="O13" s="2" t="inlineStr">
        <x:is>
          <x:t xml:space="preserve"/>
        </x:is>
      </x:c>
      <x:c r="P13" s="13">
        <x:f>IF(OR(F13="",G13=""),1,0)</x:f>
        <x:v>0</x:v>
      </x:c>
      <x:c r="Q13" s="2" t="inlineStr">
        <x:is>
          <x:t xml:space="preserve">https://reverb.com/marketplace?query=Schoeps%20Stereo%20Set%20MK%2022%20%20CMC622ST%20Open%20Cardioid%20</x:t>
        </x:is>
      </x:c>
    </x:row>
    <x:row r="14">
      <x:c r="A14" s="2" t="inlineStr">
        <x:is>
          <x:t xml:space="preserve">Saaria Velvet Curtain (acoustic treatment) (details unspecified)</x:t>
        </x:is>
      </x:c>
      <x:c r="B14" s="3" t="n">
        <x:v>1</x:v>
      </x:c>
      <x:c r="C14" s="4" t="inlineStr">
        <x:is>
          <x:t xml:space="preserve">1 year</x:t>
        </x:is>
      </x:c>
      <x:c r="D14" s="5">
        <x:f>E14/B14</x:f>
        <x:v>344</x:v>
      </x:c>
      <x:c r="E14" s="5" t="n">
        <x:v>344</x:v>
      </x:c>
      <x:c r="F14" s="5" t="n"/>
      <x:c r="G14" s="5" t="n"/>
      <x:c r="H14" s="5">
        <x:f>IF(F14="","",B14*F14)</x:f>
      </x:c>
      <x:c r="I14" s="5">
        <x:f>IF(G14="","",B14*G14)</x:f>
      </x:c>
      <x:c r="J14" s="2" t="inlineStr">
        <x:is>
          <x:t xml:space="preserve"/>
        </x:is>
      </x:c>
      <x:c r="K14" s="5" t="n">
        <x:v>180</x:v>
      </x:c>
      <x:c r="L14" s="5">
        <x:f>K14/B14</x:f>
        <x:v>180</x:v>
      </x:c>
      <x:c r="M14" s="6">
        <x:f>IFERROR(K14/I14,"")</x:f>
      </x:c>
      <x:c r="N14" s="2" t="inlineStr">
        <x:is>
          <x:t xml:space="preserve">Estimated used sale (home acoustics).</x:t>
        </x:is>
      </x:c>
      <x:c r="O14" s="2" t="inlineStr">
        <x:is>
          <x:t xml:space="preserve">Need size/brand/material details to research MSRP.</x:t>
        </x:is>
      </x:c>
      <x:c r="P14" s="13">
        <x:f>IF(OR(F14="",G14=""),1,0)</x:f>
        <x:v>1</x:v>
      </x:c>
      <x:c r="Q14" s="2" t="inlineStr">
        <x:is>
          <x:t xml:space="preserve"/>
        </x:is>
      </x:c>
    </x:row>
    <x:row r="15">
      <x:c r="A15" s="2" t="inlineStr">
        <x:is>
          <x:t xml:space="preserve">TK Audio DP2 Dual Class-A Preamp</x:t>
        </x:is>
      </x:c>
      <x:c r="B15" s="3" t="n">
        <x:v>1</x:v>
      </x:c>
      <x:c r="C15" s="4" t="inlineStr">
        <x:is>
          <x:t xml:space="preserve">1 year</x:t>
        </x:is>
      </x:c>
      <x:c r="D15" s="5">
        <x:f>E15/B15</x:f>
        <x:v>893.34</x:v>
      </x:c>
      <x:c r="E15" s="5" t="n">
        <x:v>893.34</x:v>
      </x:c>
      <x:c r="F15" s="5" t="n">
        <x:v>1399</x:v>
      </x:c>
      <x:c r="G15" s="5" t="n">
        <x:v>1399</x:v>
      </x:c>
      <x:c r="H15" s="5">
        <x:f>IF(F15="","",B15*F15)</x:f>
        <x:v>1399</x:v>
      </x:c>
      <x:c r="I15" s="5">
        <x:f>IF(G15="","",B15*G15)</x:f>
        <x:v>1399</x:v>
      </x:c>
      <x:c r="J15" s="2" t="inlineStr">
        <x:is>
          <x:t xml:space="preserve">https://www.altomusic.com/products/tk-audio-dp2-dual-class-a-preamp-dp2tk</x:t>
        </x:is>
      </x:c>
      <x:c r="K15" s="5" t="n">
        <x:v>550</x:v>
      </x:c>
      <x:c r="L15" s="5">
        <x:f>K15/B15</x:f>
        <x:v>550</x:v>
      </x:c>
      <x:c r="M15" s="6">
        <x:f>IFERROR(K15/I15,"")</x:f>
        <x:v>0.39313795568263044</x:v>
      </x:c>
      <x:c r="N15" s="2" t="inlineStr">
        <x:is>
          <x:t xml:space="preserve">Estimated used sale (2-ch preamp).</x:t>
        </x:is>
      </x:c>
      <x:c r="O15" s="2" t="inlineStr">
        <x:is>
          <x:t xml:space="preserve">Alto lists new price $1,399.</x:t>
        </x:is>
      </x:c>
      <x:c r="P15" s="13">
        <x:f>IF(OR(F15="",G15=""),1,0)</x:f>
        <x:v>0</x:v>
      </x:c>
      <x:c r="Q15" s="2" t="inlineStr">
        <x:is>
          <x:t xml:space="preserve">https://reverb.com/marketplace?query=TK%20Audio%20DP2%20Dual%20Class-A%20Preamp</x:t>
        </x:is>
      </x:c>
    </x:row>
    <x:row r="16">
      <x:c r="A16" s="2" t="inlineStr">
        <x:is>
          <x:t xml:space="preserve">Handcrafted Labs Thermos Equalizer (Mastering EQ)</x:t>
        </x:is>
      </x:c>
      <x:c r="B16" s="3" t="n">
        <x:v>1</x:v>
      </x:c>
      <x:c r="C16" s="4" t="inlineStr">
        <x:is>
          <x:t xml:space="preserve">1 year</x:t>
        </x:is>
      </x:c>
      <x:c r="D16" s="5">
        <x:f>E16/B16</x:f>
        <x:v>1329.38</x:v>
      </x:c>
      <x:c r="E16" s="5" t="n">
        <x:v>1329.38</x:v>
      </x:c>
      <x:c r="F16" s="5" t="n">
        <x:v>2999</x:v>
      </x:c>
      <x:c r="G16" s="5" t="n">
        <x:v>2999</x:v>
      </x:c>
      <x:c r="H16" s="5">
        <x:f>IF(F16="","",B16*F16)</x:f>
        <x:v>2999</x:v>
      </x:c>
      <x:c r="I16" s="5">
        <x:f>IF(G16="","",B16*G16)</x:f>
        <x:v>2999</x:v>
      </x:c>
      <x:c r="J16" s="2" t="inlineStr">
        <x:is>
          <x:t xml:space="preserve">https://reverb.com/item/50462774-handcrafted-labs-thermos-equalizer</x:t>
        </x:is>
      </x:c>
      <x:c r="K16" s="5" t="n">
        <x:v>900</x:v>
      </x:c>
      <x:c r="L16" s="5">
        <x:f>K16/B16</x:f>
        <x:v>900</x:v>
      </x:c>
      <x:c r="M16" s="6">
        <x:f>IFERROR(K16/I16,"")</x:f>
        <x:v>0.3001000333444481</x:v>
      </x:c>
      <x:c r="N16" s="2" t="inlineStr">
        <x:is>
          <x:t xml:space="preserve">Estimated used sale (mastering EQ).</x:t>
        </x:is>
      </x:c>
      <x:c r="O16" s="2" t="inlineStr">
        <x:is>
          <x:t xml:space="preserve">New pricing from Reverb listing; used estimate is conservative.</x:t>
        </x:is>
      </x:c>
      <x:c r="P16" s="13">
        <x:f>IF(OR(F16="",G16=""),1,0)</x:f>
        <x:v>0</x:v>
      </x:c>
      <x:c r="Q16" s="2" t="inlineStr">
        <x:is>
          <x:t xml:space="preserve">https://reverb.com/marketplace?query=Handcrafted%20Labs%20Thermos%20Equalizer%20%20Mastering%20EQ%20</x:t>
        </x:is>
      </x:c>
    </x:row>
    <x:row r="17">
      <x:c r="A17" s="2" t="inlineStr">
        <x:is>
          <x:t xml:space="preserve">RDY North 003 Computer (model/specs unspecified)</x:t>
        </x:is>
      </x:c>
      <x:c r="B17" s="3" t="n">
        <x:v>1</x:v>
      </x:c>
      <x:c r="C17" s="4" t="inlineStr">
        <x:is>
          <x:t xml:space="preserve">1 year</x:t>
        </x:is>
      </x:c>
      <x:c r="D17" s="5">
        <x:f>E17/B17</x:f>
        <x:v>2034.41</x:v>
      </x:c>
      <x:c r="E17" s="5" t="n">
        <x:v>2034.41</x:v>
      </x:c>
      <x:c r="F17" s="5" t="n"/>
      <x:c r="G17" s="5" t="n"/>
      <x:c r="H17" s="5">
        <x:f>IF(F17="","",B17*F17)</x:f>
      </x:c>
      <x:c r="I17" s="5">
        <x:f>IF(G17="","",B17*G17)</x:f>
      </x:c>
      <x:c r="J17" s="2" t="inlineStr">
        <x:is>
          <x:t xml:space="preserve"/>
        </x:is>
      </x:c>
      <x:c r="K17" s="5" t="n">
        <x:v>750</x:v>
      </x:c>
      <x:c r="L17" s="5">
        <x:f>K17/B17</x:f>
        <x:v>750</x:v>
      </x:c>
      <x:c r="M17" s="6">
        <x:f>IFERROR(K17/I17,"")</x:f>
      </x:c>
      <x:c r="N17" s="2" t="inlineStr">
        <x:is>
          <x:t xml:space="preserve">Estimated used sale (computer); needs specs for accuracy.</x:t>
        </x:is>
      </x:c>
      <x:c r="O17" s="2" t="inlineStr">
        <x:is>
          <x:t xml:space="preserve">Need CPU/GPU/RAM/storage + original config to research MSRP.</x:t>
        </x:is>
      </x:c>
      <x:c r="P17" s="13">
        <x:f>IF(OR(F17="",G17=""),1,0)</x:f>
        <x:v>1</x:v>
      </x:c>
      <x:c r="Q17" s="2" t="inlineStr">
        <x:is>
          <x:t xml:space="preserve"/>
        </x:is>
      </x:c>
    </x:row>
    <x:row r="18">
      <x:c r="A18" s="2" t="inlineStr">
        <x:is>
          <x:t xml:space="preserve">Strymon BigSky Multidimensional Reverb Pedal</x:t>
        </x:is>
      </x:c>
      <x:c r="B18" s="3" t="n">
        <x:v>1</x:v>
      </x:c>
      <x:c r="C18" s="4" t="inlineStr">
        <x:is>
          <x:t xml:space="preserve">1 year</x:t>
        </x:is>
      </x:c>
      <x:c r="D18" s="5">
        <x:f>E18/B18</x:f>
        <x:v>372.23</x:v>
      </x:c>
      <x:c r="E18" s="5" t="n">
        <x:v>372.23</x:v>
      </x:c>
      <x:c r="F18" s="5" t="n">
        <x:v>479</x:v>
      </x:c>
      <x:c r="G18" s="5" t="n">
        <x:v>479</x:v>
      </x:c>
      <x:c r="H18" s="5">
        <x:f>IF(F18="","",B18*F18)</x:f>
        <x:v>479</x:v>
      </x:c>
      <x:c r="I18" s="5">
        <x:f>IF(G18="","",B18*G18)</x:f>
        <x:v>479</x:v>
      </x:c>
      <x:c r="J18" s="2" t="inlineStr">
        <x:is>
          <x:t xml:space="preserve">https://www.sweetwater.com/store/detail/BigSkyReverb--strymon-bigsky-multidimensional-reverb-pedal</x:t>
        </x:is>
      </x:c>
      <x:c r="K18" s="5" t="n">
        <x:v>250</x:v>
      </x:c>
      <x:c r="L18" s="5">
        <x:f>K18/B18</x:f>
        <x:v>250</x:v>
      </x:c>
      <x:c r="M18" s="6">
        <x:f>IFERROR(K18/I18,"")</x:f>
        <x:v>0.5219206680584552</x:v>
      </x:c>
      <x:c r="N18" s="2" t="inlineStr">
        <x:is>
          <x:t xml:space="preserve">Estimated used sale (popular reverb pedal).</x:t>
        </x:is>
      </x:c>
      <x:c r="O18" s="2" t="inlineStr">
        <x:is>
          <x:t xml:space="preserve"/>
        </x:is>
      </x:c>
      <x:c r="P18" s="13">
        <x:f>IF(OR(F18="",G18=""),1,0)</x:f>
        <x:v>0</x:v>
      </x:c>
      <x:c r="Q18" s="2" t="inlineStr">
        <x:is>
          <x:t xml:space="preserve">https://reverb.com/marketplace?query=Strymon%20BigSky%20Multidimensional%20Reverb%20Pedal</x:t>
        </x:is>
      </x:c>
    </x:row>
    <x:row r="19">
      <x:c r="A19" s="2" t="inlineStr">
        <x:is>
          <x:t xml:space="preserve">Sennheiser ew 100 G4-CI1 Wireless Instrument Set (band unspecified)</x:t>
        </x:is>
      </x:c>
      <x:c r="B19" s="3" t="n">
        <x:v>1</x:v>
      </x:c>
      <x:c r="C19" s="4" t="inlineStr">
        <x:is>
          <x:t xml:space="preserve">1 year</x:t>
        </x:is>
      </x:c>
      <x:c r="D19" s="5">
        <x:f>E19/B19</x:f>
        <x:v>549.99</x:v>
      </x:c>
      <x:c r="E19" s="5" t="n">
        <x:v>549.99</x:v>
      </x:c>
      <x:c r="F19" s="5" t="n">
        <x:v>737.23</x:v>
      </x:c>
      <x:c r="G19" s="5" t="n">
        <x:v>587.4299999999999</x:v>
      </x:c>
      <x:c r="H19" s="5">
        <x:f>IF(F19="","",B19*F19)</x:f>
        <x:v>737.23</x:v>
      </x:c>
      <x:c r="I19" s="5">
        <x:f>IF(G19="","",B19*G19)</x:f>
        <x:v>587.43</x:v>
      </x:c>
      <x:c r="J19" s="2" t="inlineStr">
        <x:is>
          <x:t xml:space="preserve">https://www.zackelectronics.com/sennheiser-507882-ew-100-g4-ci1-g-wireless-instrument-set-frequency-range-g-566-608-mhz-507882.html</x:t>
        </x:is>
      </x:c>
      <x:c r="K19" s="5" t="n">
        <x:v>300</x:v>
      </x:c>
      <x:c r="L19" s="5">
        <x:f>K19/B19</x:f>
        <x:v>300</x:v>
      </x:c>
      <x:c r="M19" s="6">
        <x:f>IFERROR(K19/I19,"")</x:f>
        <x:v>0.5106991471324244</x:v>
      </x:c>
      <x:c r="N19" s="2" t="inlineStr">
        <x:is>
          <x:t xml:space="preserve">Estimated used sale (wireless instrument).</x:t>
        </x:is>
      </x:c>
      <x:c r="O19" s="2" t="inlineStr">
        <x:is>
          <x:t xml:space="preserve">Band/frequency range impacts value.</x:t>
        </x:is>
      </x:c>
      <x:c r="P19" s="13">
        <x:f>IF(OR(F19="",G19=""),1,0)</x:f>
        <x:v>0</x:v>
      </x:c>
      <x:c r="Q19" s="2" t="inlineStr">
        <x:is>
          <x:t xml:space="preserve">https://reverb.com/marketplace?query=Sennheiser%20ew%20100%20G4-CI1%20Wireless%20Instrument%20Set%20%20band%20unspecified%20</x:t>
        </x:is>
      </x:c>
    </x:row>
    <x:row r="20">
      <x:c r="A20" s="2" t="inlineStr">
        <x:is>
          <x:t xml:space="preserve">Grace Design ROXi Mic/Instrument Preamp Pedal</x:t>
        </x:is>
      </x:c>
      <x:c r="B20" s="3" t="n">
        <x:v>1</x:v>
      </x:c>
      <x:c r="C20" s="4" t="inlineStr">
        <x:is>
          <x:t xml:space="preserve">2 years</x:t>
        </x:is>
      </x:c>
      <x:c r="D20" s="5">
        <x:f>E20/B20</x:f>
        <x:v>951.83</x:v>
      </x:c>
      <x:c r="E20" s="5" t="n">
        <x:v>951.83</x:v>
      </x:c>
      <x:c r="F20" s="5" t="n">
        <x:v>941</x:v>
      </x:c>
      <x:c r="G20" s="5" t="n">
        <x:v>941</x:v>
      </x:c>
      <x:c r="H20" s="5">
        <x:f>IF(F20="","",B20*F20)</x:f>
        <x:v>941</x:v>
      </x:c>
      <x:c r="I20" s="5">
        <x:f>IF(G20="","",B20*G20)</x:f>
        <x:v>941</x:v>
      </x:c>
      <x:c r="J20" s="2" t="inlineStr">
        <x:is>
          <x:t xml:space="preserve">https://www.sweetwater.com/store/detail/ROXi--grace-design-roxi-mic-instrument-preamp-pedal-with-boost-and-fx-loop</x:t>
        </x:is>
      </x:c>
      <x:c r="K20" s="5" t="n">
        <x:v>550</x:v>
      </x:c>
      <x:c r="L20" s="5">
        <x:f>K20/B20</x:f>
        <x:v>550</x:v>
      </x:c>
      <x:c r="M20" s="6">
        <x:f>IFERROR(K20/I20,"")</x:f>
        <x:v>0.5844845908607864</x:v>
      </x:c>
      <x:c r="N20" s="2" t="inlineStr">
        <x:is>
          <x:t xml:space="preserve">Estimated used sale (premium preamp pedal).</x:t>
        </x:is>
      </x:c>
      <x:c r="O20" s="2" t="inlineStr">
        <x:is>
          <x:t xml:space="preserve"/>
        </x:is>
      </x:c>
      <x:c r="P20" s="13">
        <x:f>IF(OR(F20="",G20=""),1,0)</x:f>
        <x:v>0</x:v>
      </x:c>
      <x:c r="Q20" s="2" t="inlineStr">
        <x:is>
          <x:t xml:space="preserve">https://reverb.com/marketplace?query=Grace%20Design%20ROXi%20Mic/Instrument%20Preamp%20Pedal</x:t>
        </x:is>
      </x:c>
    </x:row>
    <x:row r="21">
      <x:c r="A21" s="2" t="inlineStr">
        <x:is>
          <x:t xml:space="preserve">RCF ART 710-A MK5 10" Powered Speaker</x:t>
        </x:is>
      </x:c>
      <x:c r="B21" s="3" t="n">
        <x:v>4</x:v>
      </x:c>
      <x:c r="C21" s="4" t="inlineStr">
        <x:is>
          <x:t xml:space="preserve">2 years</x:t>
        </x:is>
      </x:c>
      <x:c r="D21" s="5">
        <x:f>E21/B21</x:f>
        <x:v>414.77</x:v>
      </x:c>
      <x:c r="E21" s="5" t="n">
        <x:v>1659.08</x:v>
      </x:c>
      <x:c r="F21" s="5" t="n">
        <x:v>549</x:v>
      </x:c>
      <x:c r="G21" s="5" t="n">
        <x:v>549</x:v>
      </x:c>
      <x:c r="H21" s="5">
        <x:f>IF(F21="","",B21*F21)</x:f>
        <x:v>2196</x:v>
      </x:c>
      <x:c r="I21" s="5">
        <x:f>IF(G21="","",B21*G21)</x:f>
        <x:v>2196</x:v>
      </x:c>
      <x:c r="J21" s="2" t="inlineStr">
        <x:is>
          <x:t xml:space="preserve">https://www.sweetwater.com/store/detail/ART710AMK5--rcf-art-710-a-mk5-active-1400-watt-2-way-10-inch-powered-speaker</x:t>
        </x:is>
      </x:c>
      <x:c r="K21" s="5" t="n">
        <x:v>1200</x:v>
      </x:c>
      <x:c r="L21" s="5">
        <x:f>K21/B21</x:f>
        <x:v>300</x:v>
      </x:c>
      <x:c r="M21" s="6">
        <x:f>IFERROR(K21/I21,"")</x:f>
        <x:v>0.546448087431694</x:v>
      </x:c>
      <x:c r="N21" s="2" t="inlineStr">
        <x:is>
          <x:t xml:space="preserve">Estimated used sale (4 speakers).</x:t>
        </x:is>
      </x:c>
      <x:c r="O21" s="2" t="inlineStr">
        <x:is>
          <x:t xml:space="preserve">Assumes all 4 are same model and condition.</x:t>
        </x:is>
      </x:c>
      <x:c r="P21" s="13">
        <x:f>IF(OR(F21="",G21=""),1,0)</x:f>
        <x:v>0</x:v>
      </x:c>
      <x:c r="Q21" s="2" t="inlineStr">
        <x:is>
          <x:t xml:space="preserve">https://reverb.com/marketplace?query=RCF%20ART%20710-A%20MK5%2010%22%20Powered%20Speaker</x:t>
        </x:is>
      </x:c>
    </x:row>
    <x:row r="22">
      <x:c r="A22" s="2" t="inlineStr">
        <x:is>
          <x:t xml:space="preserve">Guild F-50 Jumbo Acoustic Guitar</x:t>
        </x:is>
      </x:c>
      <x:c r="B22" s="3" t="n">
        <x:v>1</x:v>
      </x:c>
      <x:c r="C22" s="4" t="inlineStr">
        <x:is>
          <x:t xml:space="preserve">2 years</x:t>
        </x:is>
      </x:c>
      <x:c r="D22" s="5">
        <x:f>E22/B22</x:f>
        <x:v>1845.18</x:v>
      </x:c>
      <x:c r="E22" s="5" t="n">
        <x:v>1845.18</x:v>
      </x:c>
      <x:c r="F22" s="5" t="n">
        <x:v>2799.99</x:v>
      </x:c>
      <x:c r="G22" s="5" t="n">
        <x:v>2799.99</x:v>
      </x:c>
      <x:c r="H22" s="5">
        <x:f>IF(F22="","",B22*F22)</x:f>
        <x:v>2799.99</x:v>
      </x:c>
      <x:c r="I22" s="5">
        <x:f>IF(G22="","",B22*G22)</x:f>
        <x:v>2799.99</x:v>
      </x:c>
      <x:c r="J22" s="2" t="inlineStr">
        <x:is>
          <x:t xml:space="preserve">https://www.musiciansfriend.com/guitars/guild-f-50-jumbo-acoustic-guitar</x:t>
        </x:is>
      </x:c>
      <x:c r="K22" s="5" t="n">
        <x:v>1300</x:v>
      </x:c>
      <x:c r="L22" s="5">
        <x:f>K22/B22</x:f>
        <x:v>1300</x:v>
      </x:c>
      <x:c r="M22" s="6">
        <x:f>IFERROR(K22/I22,"")</x:f>
        <x:v>0.46428737245490165</x:v>
      </x:c>
      <x:c r="N22" s="2" t="inlineStr">
        <x:is>
          <x:t xml:space="preserve">Estimated used sale (acoustic guitar).</x:t>
        </x:is>
      </x:c>
      <x:c r="O22" s="2" t="inlineStr">
        <x:is>
          <x:t xml:space="preserve">Exact year/finish affects used comps.</x:t>
        </x:is>
      </x:c>
      <x:c r="P22" s="13">
        <x:f>IF(OR(F22="",G22=""),1,0)</x:f>
        <x:v>0</x:v>
      </x:c>
      <x:c r="Q22" s="2" t="inlineStr">
        <x:is>
          <x:t xml:space="preserve">https://reverb.com/marketplace?query=Guild%20F-50%20Jumbo%20Acoustic%20Guitar</x:t>
        </x:is>
      </x:c>
    </x:row>
    <x:row r="23">
      <x:c r="A23" s="2" t="inlineStr">
        <x:is>
          <x:t xml:space="preserve">Lauten Audio Atlantis FC-387 Microphone</x:t>
        </x:is>
      </x:c>
      <x:c r="B23" s="3" t="n">
        <x:v>1</x:v>
      </x:c>
      <x:c r="C23" s="4" t="inlineStr">
        <x:is>
          <x:t xml:space="preserve">2 years</x:t>
        </x:is>
      </x:c>
      <x:c r="D23" s="5">
        <x:f>E23/B23</x:f>
        <x:v>933.19</x:v>
      </x:c>
      <x:c r="E23" s="5" t="n">
        <x:v>933.1900000000001</x:v>
      </x:c>
      <x:c r="F23" s="5" t="n">
        <x:v>1758</x:v>
      </x:c>
      <x:c r="G23" s="5" t="n">
        <x:v>1758</x:v>
      </x:c>
      <x:c r="H23" s="5">
        <x:f>IF(F23="","",B23*F23)</x:f>
        <x:v>1758</x:v>
      </x:c>
      <x:c r="I23" s="5">
        <x:f>IF(G23="","",B23*G23)</x:f>
        <x:v>1758</x:v>
      </x:c>
      <x:c r="J23" s="2" t="inlineStr">
        <x:is>
          <x:t xml:space="preserve">https://www.lautenaudio.com/shop</x:t>
        </x:is>
      </x:c>
      <x:c r="K23" s="5" t="n">
        <x:v>500</x:v>
      </x:c>
      <x:c r="L23" s="5">
        <x:f>K23/B23</x:f>
        <x:v>500</x:v>
      </x:c>
      <x:c r="M23" s="6">
        <x:f>IFERROR(K23/I23,"")</x:f>
        <x:v>0.2844141069397042</x:v>
      </x:c>
      <x:c r="N23" s="2" t="inlineStr">
        <x:is>
          <x:t xml:space="preserve">Estimated used sale (large-diaphragm condenser).</x:t>
        </x:is>
      </x:c>
      <x:c r="O23" s="2" t="inlineStr">
        <x:is>
          <x:t xml:space="preserve">Lauten shop shows new price; B-stock pricing differs.</x:t>
        </x:is>
      </x:c>
      <x:c r="P23" s="13">
        <x:f>IF(OR(F23="",G23=""),1,0)</x:f>
        <x:v>0</x:v>
      </x:c>
      <x:c r="Q23" s="2" t="inlineStr">
        <x:is>
          <x:t xml:space="preserve">https://reverb.com/marketplace?query=Lauten%20Audio%20Atlantis%20FC-387%20Microphone</x:t>
        </x:is>
      </x:c>
    </x:row>
    <x:row r="24">
      <x:c r="A24" s="2" t="inlineStr">
        <x:is>
          <x:t xml:space="preserve">IGS Audio Tubecore 3U Vari-mu Compressor (assumed rack version)</x:t>
        </x:is>
      </x:c>
      <x:c r="B24" s="3" t="n">
        <x:v>1</x:v>
      </x:c>
      <x:c r="C24" s="4" t="inlineStr">
        <x:is>
          <x:t xml:space="preserve">2 years</x:t>
        </x:is>
      </x:c>
      <x:c r="D24" s="5">
        <x:f>E24/B24</x:f>
        <x:v>2777.54</x:v>
      </x:c>
      <x:c r="E24" s="5" t="n">
        <x:v>2777.54</x:v>
      </x:c>
      <x:c r="F24" s="5" t="n">
        <x:v>3495</x:v>
      </x:c>
      <x:c r="G24" s="5" t="n">
        <x:v>3195</x:v>
      </x:c>
      <x:c r="H24" s="5">
        <x:f>IF(F24="","",B24*F24)</x:f>
        <x:v>3495</x:v>
      </x:c>
      <x:c r="I24" s="5">
        <x:f>IF(G24="","",B24*G24)</x:f>
        <x:v>3195</x:v>
      </x:c>
      <x:c r="J24" s="2" t="inlineStr">
        <x:is>
          <x:t xml:space="preserve">https://www.atlasproaudio.com/igs-tubecore-500-compressor-black/</x:t>
        </x:is>
      </x:c>
      <x:c r="K24" s="5" t="n">
        <x:v>1900</x:v>
      </x:c>
      <x:c r="L24" s="5">
        <x:f>K24/B24</x:f>
        <x:v>1900</x:v>
      </x:c>
      <x:c r="M24" s="6">
        <x:f>IFERROR(K24/I24,"")</x:f>
        <x:v>0.594679186228482</x:v>
      </x:c>
      <x:c r="N24" s="2" t="inlineStr">
        <x:is>
          <x:t xml:space="preserve">Estimated used sale (boutique tube compressor).</x:t>
        </x:is>
      </x:c>
      <x:c r="O24" s="2" t="inlineStr">
        <x:is>
          <x:t xml:space="preserve">Atlas product page lists Tubecore 3U in related products; confirm exact unit.</x:t>
        </x:is>
      </x:c>
      <x:c r="P24" s="13">
        <x:f>IF(OR(F24="",G24=""),1,0)</x:f>
        <x:v>0</x:v>
      </x:c>
      <x:c r="Q24" s="2" t="inlineStr">
        <x:is>
          <x:t xml:space="preserve">https://reverb.com/marketplace?query=IGS%20Audio%20Tubecore%203U%20Vari-mu%20Compressor%20%20assumed%20rack%20version%20</x:t>
        </x:is>
      </x:c>
    </x:row>
    <x:row r="25">
      <x:c r="A25" s="2" t="inlineStr">
        <x:is>
          <x:t xml:space="preserve">Beyerdynamic Microphone (model unspecified)</x:t>
        </x:is>
      </x:c>
      <x:c r="B25" s="3" t="n">
        <x:v>1</x:v>
      </x:c>
      <x:c r="C25" s="4" t="inlineStr">
        <x:is>
          <x:t xml:space="preserve">2 years</x:t>
        </x:is>
      </x:c>
      <x:c r="D25" s="5">
        <x:f>E25/B25</x:f>
        <x:v>339.26</x:v>
      </x:c>
      <x:c r="E25" s="5" t="n">
        <x:v>339.26</x:v>
      </x:c>
      <x:c r="F25" s="5" t="n"/>
      <x:c r="G25" s="5" t="n"/>
      <x:c r="H25" s="5">
        <x:f>IF(F25="","",B25*F25)</x:f>
      </x:c>
      <x:c r="I25" s="5">
        <x:f>IF(G25="","",B25*G25)</x:f>
      </x:c>
      <x:c r="J25" s="2" t="inlineStr">
        <x:is>
          <x:t xml:space="preserve"/>
        </x:is>
      </x:c>
      <x:c r="K25" s="5" t="n">
        <x:v>150</x:v>
      </x:c>
      <x:c r="L25" s="5">
        <x:f>K25/B25</x:f>
        <x:v>150</x:v>
      </x:c>
      <x:c r="M25" s="6">
        <x:f>IFERROR(K25/I25,"")</x:f>
      </x:c>
      <x:c r="N25" s="2" t="inlineStr">
        <x:is>
          <x:t xml:space="preserve">Estimated used sale; needs exact model.</x:t>
        </x:is>
      </x:c>
      <x:c r="O25" s="2" t="inlineStr">
        <x:is>
          <x:t xml:space="preserve">Need model (e.g., M88, M201, etc.) to research MSRP and comps.</x:t>
        </x:is>
      </x:c>
      <x:c r="P25" s="13">
        <x:f>IF(OR(F25="",G25=""),1,0)</x:f>
        <x:v>1</x:v>
      </x:c>
      <x:c r="Q25" s="2" t="inlineStr">
        <x:is>
          <x:t xml:space="preserve">https://reverb.com/marketplace?query=Beyerdynamic%20Microphone%20%20model%20unspecified%20</x:t>
        </x:is>
      </x:c>
    </x:row>
    <x:row r="26">
      <x:c r="A26" s="2" t="inlineStr">
        <x:is>
          <x:t xml:space="preserve">Telefunken M80 Dynamic Microphone (Black)</x:t>
        </x:is>
      </x:c>
      <x:c r="B26" s="3" t="n">
        <x:v>2</x:v>
      </x:c>
      <x:c r="C26" s="4" t="inlineStr">
        <x:is>
          <x:t xml:space="preserve">2 years</x:t>
        </x:is>
      </x:c>
      <x:c r="D26" s="5">
        <x:f>E26/B26</x:f>
        <x:v>150</x:v>
      </x:c>
      <x:c r="E26" s="5" t="n">
        <x:v>300</x:v>
      </x:c>
      <x:c r="F26" s="5" t="n">
        <x:v>249</x:v>
      </x:c>
      <x:c r="G26" s="5" t="n">
        <x:v>249</x:v>
      </x:c>
      <x:c r="H26" s="5">
        <x:f>IF(F26="","",B26*F26)</x:f>
        <x:v>498</x:v>
      </x:c>
      <x:c r="I26" s="5">
        <x:f>IF(G26="","",B26*G26)</x:f>
        <x:v>498</x:v>
      </x:c>
      <x:c r="J26" s="2" t="inlineStr">
        <x:is>
          <x:t xml:space="preserve">https://www.sweetwater.com/store/detail/M80Black--telefunken-m80-dynamic-microphone-black</x:t>
        </x:is>
      </x:c>
      <x:c r="K26" s="5" t="n">
        <x:v>220</x:v>
      </x:c>
      <x:c r="L26" s="5">
        <x:f>K26/B26</x:f>
        <x:v>110</x:v>
      </x:c>
      <x:c r="M26" s="6">
        <x:f>IFERROR(K26/I26,"")</x:f>
        <x:v>0.44176706827309237</x:v>
      </x:c>
      <x:c r="N26" s="2" t="inlineStr">
        <x:is>
          <x:t xml:space="preserve">Estimated used sale (2 mics).</x:t>
        </x:is>
      </x:c>
      <x:c r="O26" s="2" t="inlineStr">
        <x:is>
          <x:t xml:space="preserve"/>
        </x:is>
      </x:c>
      <x:c r="P26" s="13">
        <x:f>IF(OR(F26="",G26=""),1,0)</x:f>
        <x:v>0</x:v>
      </x:c>
      <x:c r="Q26" s="2" t="inlineStr">
        <x:is>
          <x:t xml:space="preserve">https://reverb.com/marketplace?query=Telefunken%20M80%20Dynamic%20Microphone%20%20Black%20</x:t>
        </x:is>
      </x:c>
    </x:row>
    <x:row r="27">
      <x:c r="A27" s="2" t="inlineStr">
        <x:is>
          <x:t xml:space="preserve">Sebatron VMP-4000 (4-channel tube preamp) (model variant unspecified)</x:t>
        </x:is>
      </x:c>
      <x:c r="B27" s="3" t="n">
        <x:v>1</x:v>
      </x:c>
      <x:c r="C27" s="4" t="inlineStr">
        <x:is>
          <x:t xml:space="preserve">2 years</x:t>
        </x:is>
      </x:c>
      <x:c r="D27" s="5">
        <x:f>E27/B27</x:f>
        <x:v>1223.03</x:v>
      </x:c>
      <x:c r="E27" s="5" t="n">
        <x:v>1223.03</x:v>
      </x:c>
      <x:c r="F27" s="5" t="n">
        <x:v>1695</x:v>
      </x:c>
      <x:c r="G27" s="5" t="n">
        <x:v>1695</x:v>
      </x:c>
      <x:c r="H27" s="5">
        <x:f>IF(F27="","",B27*F27)</x:f>
        <x:v>1695</x:v>
      </x:c>
      <x:c r="I27" s="5">
        <x:f>IF(G27="","",B27*G27)</x:f>
        <x:v>1695</x:v>
      </x:c>
      <x:c r="J27" s="2" t="inlineStr">
        <x:is>
          <x:t xml:space="preserve">https://www.proaudiotoys.com/products/sebatron-vmp-4000e-4-channel-mic-preamp-di-eq</x:t>
        </x:is>
      </x:c>
      <x:c r="K27" s="5" t="n">
        <x:v>700</x:v>
      </x:c>
      <x:c r="L27" s="5">
        <x:f>K27/B27</x:f>
        <x:v>700</x:v>
      </x:c>
      <x:c r="M27" s="6">
        <x:f>IFERROR(K27/I27,"")</x:f>
        <x:v>0.41297935103244837</x:v>
      </x:c>
      <x:c r="N27" s="2" t="inlineStr">
        <x:is>
          <x:t xml:space="preserve">Estimated used sale (tube preamp).</x:t>
        </x:is>
      </x:c>
      <x:c r="O27" s="2" t="inlineStr">
        <x:is>
          <x:t xml:space="preserve">Source is VMP-4000e pricing; confirm exact VMP-4000 variant.</x:t>
        </x:is>
      </x:c>
      <x:c r="P27" s="13">
        <x:f>IF(OR(F27="",G27=""),1,0)</x:f>
        <x:v>0</x:v>
      </x:c>
      <x:c r="Q27" s="2" t="inlineStr">
        <x:is>
          <x:t xml:space="preserve">https://reverb.com/marketplace?query=Sebatron%20VMP-4000%20%204-channel%20tube%20preamp%20%20%20model%20variant%20unspecified%20</x:t>
        </x:is>
      </x:c>
    </x:row>
    <x:row r="28">
      <x:c r="A28" s="2" t="inlineStr">
        <x:is>
          <x:t xml:space="preserve">Radial Microphone Splitter (assumed JS3) </x:t>
        </x:is>
      </x:c>
      <x:c r="B28" s="3" t="n">
        <x:v>2</x:v>
      </x:c>
      <x:c r="C28" s="4" t="inlineStr">
        <x:is>
          <x:t xml:space="preserve">2 years</x:t>
        </x:is>
      </x:c>
      <x:c r="D28" s="5">
        <x:f>E28/B28</x:f>
        <x:v>470</x:v>
      </x:c>
      <x:c r="E28" s="5" t="n">
        <x:v>940</x:v>
      </x:c>
      <x:c r="F28" s="5" t="n">
        <x:v>339.99</x:v>
      </x:c>
      <x:c r="G28" s="5" t="n">
        <x:v>339.99</x:v>
      </x:c>
      <x:c r="H28" s="5">
        <x:f>IF(F28="","",B28*F28)</x:f>
        <x:v>679.98</x:v>
      </x:c>
      <x:c r="I28" s="5">
        <x:f>IF(G28="","",B28*G28)</x:f>
        <x:v>679.98</x:v>
      </x:c>
      <x:c r="J28" s="2" t="inlineStr">
        <x:is>
          <x:t xml:space="preserve">https://www.sweetwater.com/store/detail/JS3Splitter--radial-js3-passive-microphone-splitter</x:t>
        </x:is>
      </x:c>
      <x:c r="K28" s="5" t="n">
        <x:v>700</x:v>
      </x:c>
      <x:c r="L28" s="5">
        <x:f>K28/B28</x:f>
        <x:v>350</x:v>
      </x:c>
      <x:c r="M28" s="6">
        <x:f>IFERROR(K28/I28,"")</x:f>
        <x:v>1.0294420424130122</x:v>
      </x:c>
      <x:c r="N28" s="2" t="inlineStr">
        <x:is>
          <x:t xml:space="preserve">Estimated used sale (2 splitters).</x:t>
        </x:is>
      </x:c>
      <x:c r="O28" s="2" t="inlineStr">
        <x:is>
          <x:t xml:space="preserve">Purchase price suggests different Radial model; confirm model.</x:t>
        </x:is>
      </x:c>
      <x:c r="P28" s="13">
        <x:f>IF(OR(F28="",G28=""),1,0)</x:f>
        <x:v>0</x:v>
      </x:c>
      <x:c r="Q28" s="2" t="inlineStr">
        <x:is>
          <x:t xml:space="preserve">https://reverb.com/marketplace?query=Radial%20Microphone%20Splitter%20%20assumed%20JS3%20%20</x:t>
        </x:is>
      </x:c>
    </x:row>
    <x:row r="29">
      <x:c r="A29" s="2" t="inlineStr">
        <x:is>
          <x:t xml:space="preserve">GIK Acoustics Treatment (panels/bass traps; details unspecified)</x:t>
        </x:is>
      </x:c>
      <x:c r="B29" s="3" t="n">
        <x:v>1</x:v>
      </x:c>
      <x:c r="C29" s="4" t="inlineStr">
        <x:is>
          <x:t xml:space="preserve">2 years</x:t>
        </x:is>
      </x:c>
      <x:c r="D29" s="5">
        <x:f>E29/B29</x:f>
        <x:v>1417</x:v>
      </x:c>
      <x:c r="E29" s="5" t="n">
        <x:v>1417</x:v>
      </x:c>
      <x:c r="F29" s="5" t="n"/>
      <x:c r="G29" s="5" t="n"/>
      <x:c r="H29" s="5">
        <x:f>IF(F29="","",B29*F29)</x:f>
      </x:c>
      <x:c r="I29" s="5">
        <x:f>IF(G29="","",B29*G29)</x:f>
      </x:c>
      <x:c r="J29" s="2" t="inlineStr">
        <x:is>
          <x:t xml:space="preserve"/>
        </x:is>
      </x:c>
      <x:c r="K29" s="5" t="n">
        <x:v>500</x:v>
      </x:c>
      <x:c r="L29" s="5">
        <x:f>K29/B29</x:f>
        <x:v>500</x:v>
      </x:c>
      <x:c r="M29" s="6">
        <x:f>IFERROR(K29/I29,"")</x:f>
      </x:c>
      <x:c r="N29" s="2" t="inlineStr">
        <x:is>
          <x:t xml:space="preserve">Estimated used sale (local pickup; high shipping costs reduce value).</x:t>
        </x:is>
      </x:c>
      <x:c r="O29" s="2" t="inlineStr">
        <x:is>
          <x:t xml:space="preserve">Need list of panels/sizes to price new.</x:t>
        </x:is>
      </x:c>
      <x:c r="P29" s="13">
        <x:f>IF(OR(F29="",G29=""),1,0)</x:f>
        <x:v>1</x:v>
      </x:c>
      <x:c r="Q29" s="2" t="inlineStr">
        <x:is>
          <x:t xml:space="preserve"/>
        </x:is>
      </x:c>
    </x:row>
    <x:row r="30">
      <x:c r="A30" s="2" t="inlineStr">
        <x:is>
          <x:t xml:space="preserve">Beyerdynamic TG V90r Ribbon Microphone</x:t>
        </x:is>
      </x:c>
      <x:c r="B30" s="3" t="n">
        <x:v>1</x:v>
      </x:c>
      <x:c r="C30" s="4" t="inlineStr">
        <x:is>
          <x:t xml:space="preserve">2 years</x:t>
        </x:is>
      </x:c>
      <x:c r="D30" s="5">
        <x:f>E30/B30</x:f>
        <x:v>372.23</x:v>
      </x:c>
      <x:c r="E30" s="5" t="n">
        <x:v>372.23</x:v>
      </x:c>
      <x:c r="F30" s="5" t="n">
        <x:v>499.99</x:v>
      </x:c>
      <x:c r="G30" s="5" t="n">
        <x:v>499.99</x:v>
      </x:c>
      <x:c r="H30" s="5">
        <x:f>IF(F30="","",B30*F30)</x:f>
        <x:v>499.99</x:v>
      </x:c>
      <x:c r="I30" s="5">
        <x:f>IF(G30="","",B30*G30)</x:f>
        <x:v>499.99</x:v>
      </x:c>
      <x:c r="J30" s="2" t="inlineStr">
        <x:is>
          <x:t xml:space="preserve">https://www.adorama.com/bdtgv90r.html</x:t>
        </x:is>
      </x:c>
      <x:c r="K30" s="5" t="n">
        <x:v>200</x:v>
      </x:c>
      <x:c r="L30" s="5">
        <x:f>K30/B30</x:f>
        <x:v>200</x:v>
      </x:c>
      <x:c r="M30" s="6">
        <x:f>IFERROR(K30/I30,"")</x:f>
        <x:v>0.4000080001600032</x:v>
      </x:c>
      <x:c r="N30" s="2" t="inlineStr">
        <x:is>
          <x:t xml:space="preserve">Estimated used sale (discontinued ribbon mic).</x:t>
        </x:is>
      </x:c>
      <x:c r="O30" s="2" t="inlineStr">
        <x:is>
          <x:t xml:space="preserve">Discontinued; price varies by availability.</x:t>
        </x:is>
      </x:c>
      <x:c r="P30" s="13">
        <x:f>IF(OR(F30="",G30=""),1,0)</x:f>
        <x:v>0</x:v>
      </x:c>
      <x:c r="Q30" s="2" t="inlineStr">
        <x:is>
          <x:t xml:space="preserve">https://reverb.com/marketplace?query=Beyerdynamic%20TG%20V90r%20Ribbon%20Microphone</x:t>
        </x:is>
      </x:c>
    </x:row>
    <x:row r="31">
      <x:c r="A31" s="2" t="inlineStr">
        <x:is>
          <x:t xml:space="preserve">Eventide H9 Max Multi-effects Pedal</x:t>
        </x:is>
      </x:c>
      <x:c r="B31" s="3" t="n">
        <x:v>1</x:v>
      </x:c>
      <x:c r="C31" s="4" t="inlineStr">
        <x:is>
          <x:t xml:space="preserve">2 years</x:t>
        </x:is>
      </x:c>
      <x:c r="D31" s="5">
        <x:f>E31/B31</x:f>
        <x:v>558.24</x:v>
      </x:c>
      <x:c r="E31" s="5" t="n">
        <x:v>558.24</x:v>
      </x:c>
      <x:c r="F31" s="5" t="n">
        <x:v>699</x:v>
      </x:c>
      <x:c r="G31" s="5" t="n">
        <x:v>699</x:v>
      </x:c>
      <x:c r="H31" s="5">
        <x:f>IF(F31="","",B31*F31)</x:f>
        <x:v>699</x:v>
      </x:c>
      <x:c r="I31" s="5">
        <x:f>IF(G31="","",B31*G31)</x:f>
        <x:v>699</x:v>
      </x:c>
      <x:c r="J31" s="2" t="inlineStr">
        <x:is>
          <x:t xml:space="preserve">https://www.sweetwater.com/store/detail/H9MAX--eventide-h9-max-multi-effects-pedal</x:t>
        </x:is>
      </x:c>
      <x:c r="K31" s="5" t="n">
        <x:v>350</x:v>
      </x:c>
      <x:c r="L31" s="5">
        <x:f>K31/B31</x:f>
        <x:v>350</x:v>
      </x:c>
      <x:c r="M31" s="6">
        <x:f>IFERROR(K31/I31,"")</x:f>
        <x:v>0.5007153075822603</x:v>
      </x:c>
      <x:c r="N31" s="2" t="inlineStr">
        <x:is>
          <x:t xml:space="preserve">Estimated used sale (multi-FX pedal).</x:t>
        </x:is>
      </x:c>
      <x:c r="O31" s="2" t="inlineStr">
        <x:is>
          <x:t xml:space="preserve">Street price may vary; this page shows current promo pricing too.</x:t>
        </x:is>
      </x:c>
      <x:c r="P31" s="13">
        <x:f>IF(OR(F31="",G31=""),1,0)</x:f>
        <x:v>0</x:v>
      </x:c>
      <x:c r="Q31" s="2" t="inlineStr">
        <x:is>
          <x:t xml:space="preserve">https://reverb.com/marketplace?query=Eventide%20H9%20Max%20Multi-effects%20Pedal</x:t>
        </x:is>
      </x:c>
    </x:row>
    <x:row r="32">
      <x:c r="A32" s="2" t="inlineStr">
        <x:is>
          <x:t xml:space="preserve">DI Boxes (Radial/Telefunken) — model unspecified</x:t>
        </x:is>
      </x:c>
      <x:c r="B32" s="3" t="n">
        <x:v>3</x:v>
      </x:c>
      <x:c r="C32" s="4" t="inlineStr">
        <x:is>
          <x:t xml:space="preserve">2 years</x:t>
        </x:is>
      </x:c>
      <x:c r="D32" s="5">
        <x:f>E32/B32</x:f>
        <x:v>49.333333333333336</x:v>
      </x:c>
      <x:c r="E32" s="5" t="n">
        <x:v>148</x:v>
      </x:c>
      <x:c r="F32" s="5" t="n"/>
      <x:c r="G32" s="5" t="n"/>
      <x:c r="H32" s="5">
        <x:f>IF(F32="","",B32*F32)</x:f>
      </x:c>
      <x:c r="I32" s="5">
        <x:f>IF(G32="","",B32*G32)</x:f>
      </x:c>
      <x:c r="J32" s="2" t="inlineStr">
        <x:is>
          <x:t xml:space="preserve"/>
        </x:is>
      </x:c>
      <x:c r="K32" s="5" t="n">
        <x:v>70</x:v>
      </x:c>
      <x:c r="L32" s="5">
        <x:f>K32/B32</x:f>
        <x:v>23.333333333333332</x:v>
      </x:c>
      <x:c r="M32" s="6">
        <x:f>IFERROR(K32/I32,"")</x:f>
      </x:c>
      <x:c r="N32" s="2" t="inlineStr">
        <x:is>
          <x:t xml:space="preserve">Estimated used sale (generic DI boxes).</x:t>
        </x:is>
      </x:c>
      <x:c r="O32" s="2" t="inlineStr">
        <x:is>
          <x:t xml:space="preserve">Need exact models to determine MSRP (Radial vs Telefunken vary widely).</x:t>
        </x:is>
      </x:c>
      <x:c r="P32" s="13">
        <x:f>IF(OR(F32="",G32=""),1,0)</x:f>
        <x:v>1</x:v>
      </x:c>
      <x:c r="Q32" s="2" t="inlineStr">
        <x:is>
          <x:t xml:space="preserve">https://reverb.com/marketplace?query=DI%20Boxes%20%20Radial/Telefunken%20%20%20%20model%20unspecified</x:t>
        </x:is>
      </x:c>
    </x:row>
    <x:row r="33">
      <x:c r="A33" s="2" t="inlineStr">
        <x:is>
          <x:t xml:space="preserve">Waves 'ERC1' Advanced WiFi Router (model unspecified)</x:t>
        </x:is>
      </x:c>
      <x:c r="B33" s="3" t="n">
        <x:v>1</x:v>
      </x:c>
      <x:c r="C33" s="4" t="inlineStr">
        <x:is>
          <x:t xml:space="preserve">2 years</x:t>
        </x:is>
      </x:c>
      <x:c r="D33" s="5">
        <x:f>E33/B33</x:f>
        <x:v>637</x:v>
      </x:c>
      <x:c r="E33" s="5" t="n">
        <x:v>637</x:v>
      </x:c>
      <x:c r="F33" s="5" t="n"/>
      <x:c r="G33" s="5" t="n"/>
      <x:c r="H33" s="5">
        <x:f>IF(F33="","",B33*F33)</x:f>
      </x:c>
      <x:c r="I33" s="5">
        <x:f>IF(G33="","",B33*G33)</x:f>
      </x:c>
      <x:c r="J33" s="2" t="inlineStr">
        <x:is>
          <x:t xml:space="preserve"/>
        </x:is>
      </x:c>
      <x:c r="K33" s="5" t="n">
        <x:v>250</x:v>
      </x:c>
      <x:c r="L33" s="5">
        <x:f>K33/B33</x:f>
        <x:v>250</x:v>
      </x:c>
      <x:c r="M33" s="6">
        <x:f>IFERROR(K33/I33,"")</x:f>
      </x:c>
      <x:c r="N33" s="2" t="inlineStr">
        <x:is>
          <x:t xml:space="preserve">Estimated used sale (network gear).</x:t>
        </x:is>
      </x:c>
      <x:c r="O33" s="2" t="inlineStr">
        <x:is>
          <x:t xml:space="preserve">Need exact make/model; could be a different brand or product name.</x:t>
        </x:is>
      </x:c>
      <x:c r="P33" s="13">
        <x:f>IF(OR(F33="",G33=""),1,0)</x:f>
        <x:v>1</x:v>
      </x:c>
      <x:c r="Q33" s="2" t="inlineStr">
        <x:is>
          <x:t xml:space="preserve"/>
        </x:is>
      </x:c>
    </x:row>
    <x:row r="34">
      <x:c r="A34" s="2" t="inlineStr">
        <x:is>
          <x:t xml:space="preserve">Telefunken 'TDA-1DL' (model unclear) — assumed small accessory/DI</x:t>
        </x:is>
      </x:c>
      <x:c r="B34" s="3" t="n">
        <x:v>2</x:v>
      </x:c>
      <x:c r="C34" s="4" t="inlineStr">
        <x:is>
          <x:t xml:space="preserve">3 years</x:t>
        </x:is>
      </x:c>
      <x:c r="D34" s="5">
        <x:f>E34/B34</x:f>
        <x:v>59.97</x:v>
      </x:c>
      <x:c r="E34" s="5" t="n">
        <x:v>119.94</x:v>
      </x:c>
      <x:c r="F34" s="5" t="n"/>
      <x:c r="G34" s="5" t="n"/>
      <x:c r="H34" s="5">
        <x:f>IF(F34="","",B34*F34)</x:f>
      </x:c>
      <x:c r="I34" s="5">
        <x:f>IF(G34="","",B34*G34)</x:f>
      </x:c>
      <x:c r="J34" s="2" t="inlineStr">
        <x:is>
          <x:t xml:space="preserve"/>
        </x:is>
      </x:c>
      <x:c r="K34" s="5" t="n">
        <x:v>40</x:v>
      </x:c>
      <x:c r="L34" s="5">
        <x:f>K34/B34</x:f>
        <x:v>20</x:v>
      </x:c>
      <x:c r="M34" s="6">
        <x:f>IFERROR(K34/I34,"")</x:f>
      </x:c>
      <x:c r="N34" s="2" t="inlineStr">
        <x:is>
          <x:t xml:space="preserve">Estimated used sale; needs exact model.</x:t>
        </x:is>
      </x:c>
      <x:c r="O34" s="2" t="inlineStr">
        <x:is>
          <x:t xml:space="preserve">Telefunken TDA-1 DI is ~$269 new; 'TDA-1DL' may be different.</x:t>
        </x:is>
      </x:c>
      <x:c r="P34" s="13">
        <x:f>IF(OR(F34="",G34=""),1,0)</x:f>
        <x:v>1</x:v>
      </x:c>
      <x:c r="Q34" s="2" t="inlineStr">
        <x:is>
          <x:t xml:space="preserve">https://reverb.com/marketplace?query=Telefunken%20%27TDA-1DL%27%20%20model%20unclear%20%20%20%20assumed%20small%20accessory/DI</x:t>
        </x:is>
      </x:c>
    </x:row>
    <x:row r="35">
      <x:c r="A35" s="2" t="inlineStr">
        <x:is>
          <x:t xml:space="preserve">Beyerdynamic M 201 Hypercardioid Dynamic Instrument Mic</x:t>
        </x:is>
      </x:c>
      <x:c r="B35" s="3" t="n">
        <x:v>2</x:v>
      </x:c>
      <x:c r="C35" s="4" t="inlineStr">
        <x:is>
          <x:t xml:space="preserve">3 years</x:t>
        </x:is>
      </x:c>
      <x:c r="D35" s="5">
        <x:f>E35/B35</x:f>
        <x:v>228.65</x:v>
      </x:c>
      <x:c r="E35" s="5" t="n">
        <x:v>457.3</x:v>
      </x:c>
      <x:c r="F35" s="5" t="n">
        <x:v>499.99</x:v>
      </x:c>
      <x:c r="G35" s="5" t="n">
        <x:v>449.99</x:v>
      </x:c>
      <x:c r="H35" s="5">
        <x:f>IF(F35="","",B35*F35)</x:f>
        <x:v>999.98</x:v>
      </x:c>
      <x:c r="I35" s="5">
        <x:f>IF(G35="","",B35*G35)</x:f>
        <x:v>899.98</x:v>
      </x:c>
      <x:c r="J35" s="2" t="inlineStr">
        <x:is>
          <x:t xml:space="preserve">https://www.sweetwater.com/store/detail/M201Mic--beyerdynamic-m-201-hypercardioid-dynamic-instrument-microphone</x:t>
        </x:is>
      </x:c>
      <x:c r="K35" s="5" t="n">
        <x:v>250</x:v>
      </x:c>
      <x:c r="L35" s="5">
        <x:f>K35/B35</x:f>
        <x:v>125</x:v>
      </x:c>
      <x:c r="M35" s="6">
        <x:f>IFERROR(K35/I35,"")</x:f>
        <x:v>0.2777839507544612</x:v>
      </x:c>
      <x:c r="N35" s="2" t="inlineStr">
        <x:is>
          <x:t xml:space="preserve">Estimated used sale (2 mics).</x:t>
        </x:is>
      </x:c>
      <x:c r="O35" s="2" t="inlineStr">
        <x:is>
          <x:t xml:space="preserve">Sweetwater page shows promo price and previous price.</x:t>
        </x:is>
      </x:c>
      <x:c r="P35" s="13">
        <x:f>IF(OR(F35="",G35=""),1,0)</x:f>
        <x:v>0</x:v>
      </x:c>
      <x:c r="Q35" s="2" t="inlineStr">
        <x:is>
          <x:t xml:space="preserve">https://reverb.com/marketplace?query=Beyerdynamic%20M%20201%20Hypercardioid%20Dynamic%20Instrument%20Mic</x:t>
        </x:is>
      </x:c>
    </x:row>
    <x:row r="36">
      <x:c r="A36" s="2" t="inlineStr">
        <x:is>
          <x:t xml:space="preserve">Gator Frameworks GFW-MICSTDBAG (carry bag for up to 6 tripod mic stands)</x:t>
        </x:is>
      </x:c>
      <x:c r="B36" s="3" t="n">
        <x:v>1</x:v>
      </x:c>
      <x:c r="C36" s="4" t="inlineStr">
        <x:is>
          <x:t xml:space="preserve">3 years</x:t>
        </x:is>
      </x:c>
      <x:c r="D36" s="5">
        <x:f>E36/B36</x:f>
        <x:v>124.99</x:v>
      </x:c>
      <x:c r="E36" s="5" t="n">
        <x:v>124.99</x:v>
      </x:c>
      <x:c r="F36" s="5" t="n">
        <x:v>124.99</x:v>
      </x:c>
      <x:c r="G36" s="5" t="n">
        <x:v>124.99</x:v>
      </x:c>
      <x:c r="H36" s="5">
        <x:f>IF(F36="","",B36*F36)</x:f>
        <x:v>124.99</x:v>
      </x:c>
      <x:c r="I36" s="5">
        <x:f>IF(G36="","",B36*G36)</x:f>
        <x:v>124.99</x:v>
      </x:c>
      <x:c r="J36" s="2" t="inlineStr">
        <x:is>
          <x:t xml:space="preserve">https://gatorco.com/product/tripod-mic-stand-carry-bag-gfw-micstdbag/</x:t>
        </x:is>
      </x:c>
      <x:c r="K36" s="5" t="n">
        <x:v>70</x:v>
      </x:c>
      <x:c r="L36" s="5">
        <x:f>K36/B36</x:f>
        <x:v>70</x:v>
      </x:c>
      <x:c r="M36" s="6">
        <x:f>IFERROR(K36/I36,"")</x:f>
        <x:v>0.5600448035842868</x:v>
      </x:c>
      <x:c r="N36" s="2" t="inlineStr">
        <x:is>
          <x:t xml:space="preserve">Estimated used sale.</x:t>
        </x:is>
      </x:c>
      <x:c r="O36" s="2" t="inlineStr">
        <x:is>
          <x:t xml:space="preserve">Gator official price.</x:t>
        </x:is>
      </x:c>
      <x:c r="P36" s="13">
        <x:f>IF(OR(F36="",G36=""),1,0)</x:f>
        <x:v>0</x:v>
      </x:c>
      <x:c r="Q36" s="2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ab67f59e1047496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5" customWidth="1"/>
    <x:col min="2" max="2" width="18" customWidth="1"/>
  </x:cols>
  <x:sheetData>
    <x:row r="1">
      <x:c r="A1" s="7" t="inlineStr">
        <x:is>
          <x:t xml:space="preserve">Studio Gear Valuation Summary</x:t>
        </x:is>
      </x:c>
    </x:row>
    <x:row r="3">
      <x:c r="A3" s="8" t="inlineStr">
        <x:is>
          <x:t xml:space="preserve">Totals</x:t>
        </x:is>
      </x:c>
    </x:row>
    <x:row r="4">
      <x:c r="A4" s="9" t="inlineStr">
        <x:is>
          <x:t xml:space="preserve">Total Purchased (your cost)</x:t>
        </x:is>
      </x:c>
      <x:c r="B4" s="10">
        <x:f>SUM(Inventory!E2:E36)</x:f>
        <x:v>32547.28</x:v>
      </x:c>
    </x:row>
    <x:row r="5">
      <x:c r="A5" s="9" t="inlineStr">
        <x:is>
          <x:t xml:space="preserve">Total MSRP/List (if available)</x:t>
        </x:is>
      </x:c>
      <x:c r="B5" s="10">
        <x:f>SUM(Inventory!H2:H36)</x:f>
        <x:v>37204.520000000004</x:v>
      </x:c>
    </x:row>
    <x:row r="6">
      <x:c r="A6" s="9" t="inlineStr">
        <x:is>
          <x:t xml:space="preserve">Total New Street (if available)</x:t>
        </x:is>
      </x:c>
      <x:c r="B6" s="10">
        <x:f>SUM(Inventory!I2:I36)</x:f>
        <x:v>35494.72</x:v>
      </x:c>
    </x:row>
    <x:row r="7">
      <x:c r="A7" s="9" t="inlineStr">
        <x:is>
          <x:t xml:space="preserve">Total Estimated Used Sale Value</x:t>
        </x:is>
      </x:c>
      <x:c r="B7" s="10">
        <x:f>SUM(Inventory!K2:K36)</x:f>
        <x:v>21110</x:v>
      </x:c>
    </x:row>
    <x:row r="8">
      <x:c r="A8" s="9" t="inlineStr">
        <x:is>
          <x:t xml:space="preserve">Estimated Recovery vs Purchased</x:t>
        </x:is>
      </x:c>
      <x:c r="B8" s="11">
        <x:f>IFERROR(B7/B4,"")</x:f>
        <x:v>0.6485949056265224</x:v>
      </x:c>
    </x:row>
    <x:row r="9">
      <x:c r="A9" s="9" t="inlineStr">
        <x:is>
          <x:t xml:space="preserve">Estimated Recovery vs New Street</x:t>
        </x:is>
      </x:c>
      <x:c r="B9" s="11">
        <x:f>IFERROR(B7/B6,"")</x:f>
        <x:v>0.5947363438843861</x:v>
      </x:c>
    </x:row>
    <x:row r="10">
      <x:c r="A10" s="9" t="inlineStr">
        <x:is>
          <x:t xml:space="preserve">Items Missing MSRP or New Street</x:t>
        </x:is>
      </x:c>
      <x:c r="B10" s="12">
        <x:f>SUM(Inventory!P2:P36)</x:f>
        <x:v>10</x:v>
      </x:c>
    </x:row>
  </x:sheetData>
  <x:pageMargins left="0.7" right="0.7" top="0.75" bottom="0.75" header="0.3" footer="0.3"/>
</x:worksheet>
</file>